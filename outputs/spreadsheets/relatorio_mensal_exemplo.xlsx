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15a72a7a9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a5aec0a38b1b42a1"/>
    <x:sheet xmlns:r="http://schemas.openxmlformats.org/officeDocument/2006/relationships" name="Desempenho Mensal" sheetId="2" r:id="R61b1931448874116"/>
    <x:sheet xmlns:r="http://schemas.openxmlformats.org/officeDocument/2006/relationships" name="Analise por Area" sheetId="3" r:id="R76434a60a1ac41fb"/>
    <x:sheet xmlns:r="http://schemas.openxmlformats.org/officeDocument/2006/relationships" name="Dados Tratados" sheetId="4" r:id="R923c4a8f5c64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R$ #,##0"/>
    <x:numFmt numFmtId="203" formatCode="R$ #,##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6C84"/>
      <x:name val="Carlito"/>
    </x:font>
    <x:font>
      <x:b/>
      <x:sz val="10"/>
      <x:color rgb="FF5E6C84"/>
      <x:name val="Carlito"/>
    </x:font>
    <x:font>
      <x:b/>
      <x:sz val="15"/>
      <x:color rgb="FF0B2545"/>
      <x:name val="Carlito"/>
    </x:font>
    <x:font>
      <x:b/>
      <x:sz val="11"/>
      <x:color rgb="FFFFFFFF"/>
      <x:name val="Carlito"/>
    </x:font>
    <x:font>
      <x:sz val="10"/>
      <x:color rgb="FF0B254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AF4F8"/>
      </x:patternFill>
    </x:fill>
    <x:fill>
      <x:patternFill patternType="solid">
        <x:fgColor rgb="FFE8F5F0"/>
      </x:patternFill>
    </x:fill>
    <x:fill>
      <x:patternFill patternType="solid">
        <x:fgColor rgb="FFFFF3E6"/>
      </x:patternFill>
    </x:fill>
    <x:fill>
      <x:patternFill patternType="solid">
        <x:fgColor rgb="FFF8FAFC"/>
      </x:patternFill>
    </x:fill>
    <x:fill>
      <x:patternFill patternType="solid">
        <x:fgColor rgb="FF176B87"/>
      </x:patternFill>
    </x:fill>
  </x:fills>
  <x:borders count="10">
    <x:border/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3" fillId="3" borderId="1" xfId="0" applyNumberFormat="1" applyFont="1" applyFill="1" applyBorder="1"/>
    <x:xf numFmtId="0" fontId="4" fillId="3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3" fillId="5" borderId="1" xfId="0" applyNumberFormat="1" applyFont="1" applyFill="1" applyBorder="1"/>
    <x:xf numFmtId="0" fontId="4" fillId="5" borderId="3" xfId="0" applyNumberFormat="1" applyFont="1" applyFill="1" applyBorder="1"/>
    <x:xf numFmtId="200" fontId="4" fillId="5" borderId="3" xfId="0" applyNumberFormat="1" applyFont="1" applyFill="1" applyBorder="1"/>
    <x:xf numFmtId="201" fontId="4" fillId="4" borderId="3" xfId="0" applyNumberFormat="1" applyFont="1" applyFill="1" applyBorder="1"/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3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2" xfId="0" applyNumberFormat="1" applyFont="1" applyFill="1" applyBorder="1"/>
    <x:xf numFmtId="0" fontId="6" fillId="6" borderId="9" xfId="0" applyNumberFormat="1" applyFont="1" applyFill="1" applyBorder="1"/>
    <x:xf numFmtId="0" fontId="6" fillId="6" borderId="1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2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202" fontId="0" fillId="0" borderId="7" xfId="0" applyNumberFormat="1" applyFont="1" applyFill="1" applyBorder="1"/>
    <x:xf numFmtId="201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178c96f584c35" /><Relationship Type="http://schemas.openxmlformats.org/officeDocument/2006/relationships/theme" Target="/xl/theme/theme1.xml" Id="R6ad44ea62b5a430f" /><Relationship Type="http://schemas.openxmlformats.org/officeDocument/2006/relationships/sharedStrings" Target="/xl/sharedStrings.xml" Id="R97836e8e6a394015" /><Relationship Type="http://schemas.openxmlformats.org/officeDocument/2006/relationships/worksheet" Target="/xl/worksheets/sheet1.xml" Id="Ra5aec0a38b1b42a1" /><Relationship Type="http://schemas.openxmlformats.org/officeDocument/2006/relationships/worksheet" Target="/xl/worksheets/sheet2.xml" Id="R61b1931448874116" /><Relationship Type="http://schemas.openxmlformats.org/officeDocument/2006/relationships/worksheet" Target="/xl/worksheets/sheet3.xml" Id="R76434a60a1ac41fb" /><Relationship Type="http://schemas.openxmlformats.org/officeDocument/2006/relationships/worksheet" Target="/xl/worksheets/sheet4.xml" Id="R923c4a8f5c6443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428285350d4532" /><Relationship Type="http://schemas.openxmlformats.org/officeDocument/2006/relationships/chart" Target="/xl/drawings/charts/chart2.xml" Id="Rdc3faf7e5c6d47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da receita líquida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Receita líquida</c:v>
          </c:tx>
          <c:marker>
            <c:symbol val="none"/>
          </c:marker>
          <c:cat>
            <c:strRef>
              <c:f>'Desempenho Mensal'!$A$2:$A$13</c:f>
              <c:strCache>
                <c:ptCount val="0"/>
              </c:strCache>
            </c:strRef>
          </c:cat>
          <c:val>
            <c:numRef>
              <c:f>'Desempenho Mensal'!$B$2:$B$13</c:f>
              <c:numCache>
                <c:formatCode>R$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Margem bruta por área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Margem bruta</c:v>
          </c:tx>
          <c:cat>
            <c:strRef>
              <c:f>'Analise por Area'!$A$2:$A$5</c:f>
              <c:strCache>
                <c:ptCount val="0"/>
              </c:strCache>
            </c:strRef>
          </c:cat>
          <c:val>
            <c:numRef>
              <c:f>'Analise por Area'!$C$2:$C$5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428285350d4532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3faf7e5c6d47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sempenhoMensal" displayName="DesempenhoMensal" ref="A1:F13" headerRowCount="1" totalsRowCount="0" totalsRowShown="0">
  <x:tableColumns count="6">
    <x:tableColumn id="1" name="Mês"/>
    <x:tableColumn id="2" name="Receita líquida"/>
    <x:tableColumn id="3" name="Margem bruta"/>
    <x:tableColumn id="4" name="Transações"/>
    <x:tableColumn id="5" name="Margem %"/>
    <x:tableColumn id="6" name="Cresci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iseArea" displayName="AnaliseArea" ref="A1:D5" headerRowCount="1" totalsRowCount="0" totalsRowShown="0">
  <x:tableColumns count="4">
    <x:tableColumn id="1" name="Área"/>
    <x:tableColumn id="2" name="Receita líquida"/>
    <x:tableColumn id="3" name="Margem bruta"/>
    <x:tableColumn id="4" name="Margem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dosTratados" displayName="DadosTratados" ref="A1:L649" headerRowCount="1" totalsRowCount="0" totalsRowShown="0">
  <x:tableColumns count="12">
    <x:tableColumn id="1" name="ID"/>
    <x:tableColumn id="2" name="Data"/>
    <x:tableColumn id="3" name="Área"/>
    <x:tableColumn id="4" name="Canal"/>
    <x:tableColumn id="5" name="Região"/>
    <x:tableColumn id="6" name="Cliente"/>
    <x:tableColumn id="7" name="Responsável"/>
    <x:tableColumn id="8" name="Receita bruta"/>
    <x:tableColumn id="9" name="Desconto"/>
    <x:tableColumn id="10" name="Custo"/>
    <x:tableColumn id="11" name="Receita líquida"/>
    <x:tableColumn id="12" name="Margem bru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c27e409ff34b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1cf6955ba344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27f04d36e34a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a199c5143d4a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3" hidden="0" customWidth="1"/>
    <x:col min="4" max="4" width="21" hidden="0" customWidth="1"/>
    <x:col min="5" max="5" width="18" hidden="0" customWidth="1"/>
    <x:col min="6" max="6" width="3" hidden="0" customWidth="1"/>
    <x:col min="7" max="7" width="21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0" customHeight="1">
      <x:c r="A1" s="4" t="str">
        <x:v>RELATÓRIO CORPORATIVO | VISÃO EXECUTIVA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0" customHeight="1">
      <x:c r="A3" s="6" t="str">
        <x:v>Desempenho consolidado • base sintética • período jul/2025 a jun/2026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0" customHeight="1"/>
    <x:row r="5" ht="20" customHeight="1">
      <x:c r="A5" s="12" t="str">
        <x:v>Receita líquida</x:v>
      </x:c>
      <x:c r="B5" s="9"/>
      <x:c r="D5" s="19" t="str">
        <x:v>Margem bruta</x:v>
      </x:c>
      <x:c r="E5" s="16"/>
      <x:c r="G5" s="26" t="str">
        <x:v>Margem consolidada</x:v>
      </x:c>
      <x:c r="H5" s="23"/>
    </x:row>
    <x:row r="6" ht="20" customHeight="1">
      <x:c r="A6" s="13" t="str">
        <x:f>"R$ "&amp;ROUND(SUM('Desempenho Mensal'!B2:B13)/1000000,1)&amp;" mi"</x:f>
        <x:v>R$ 12.4 mi</x:v>
      </x:c>
      <x:c r="B6" s="11"/>
      <x:c r="D6" s="20" t="str">
        <x:f>"R$ "&amp;ROUND(SUM('Desempenho Mensal'!C2:C13)/1000000,1)&amp;" mi"</x:f>
        <x:v>R$ 4.6 mi</x:v>
      </x:c>
      <x:c r="E6" s="18"/>
      <x:c r="G6" s="28" t="n">
        <x:f>SUM('Desempenho Mensal'!C2:C13)/SUM('Desempenho Mensal'!B2:B13)</x:f>
        <x:v>0.37397315469964393</x:v>
      </x:c>
      <x:c r="H6" s="25"/>
    </x:row>
    <x:row r="7" ht="20" customHeight="1">
      <x:c r="A7" s="12" t="str">
        <x:v>Ticket médio</x:v>
      </x:c>
      <x:c r="B7" s="9"/>
      <x:c r="D7" s="19" t="str">
        <x:v>Transações processadas</x:v>
      </x:c>
      <x:c r="E7" s="16"/>
      <x:c r="G7" s="26" t="str">
        <x:v>Crescimento último mês</x:v>
      </x:c>
      <x:c r="H7" s="23"/>
    </x:row>
    <x:row r="8" ht="20" customHeight="1">
      <x:c r="A8" s="13" t="str">
        <x:f>"R$ "&amp;ROUND(SUM('Desempenho Mensal'!B2:B13)/SUM('Desempenho Mensal'!D2:D13),0)</x:f>
        <x:v>R$ 19143</x:v>
      </x:c>
      <x:c r="B8" s="11"/>
      <x:c r="D8" s="29" t="n">
        <x:f>SUM('Desempenho Mensal'!D2:D13)</x:f>
        <x:v>648</x:v>
      </x:c>
      <x:c r="E8" s="18"/>
      <x:c r="G8" s="28" t="n">
        <x:f>'Desempenho Mensal'!F13</x:f>
        <x:v>0.06550273282854158</x:v>
      </x:c>
      <x:c r="H8" s="25"/>
    </x:row>
    <x:row r="9" ht="20" customHeight="1"/>
    <x:row r="10" ht="20" customHeight="1">
      <x:c r="A10" s="30" t="str">
        <x:v>INSIGHTS AUTOMÁTICOS</x:v>
      </x:c>
      <x:c r="B10" s="30"/>
      <x:c r="C10" s="30"/>
      <x:c r="D10" s="30"/>
      <x:c r="E10" s="30"/>
      <x:c r="F10" s="30"/>
      <x:c r="G10" s="30"/>
      <x:c r="H10" s="30"/>
    </x:row>
    <x:row r="11" ht="28" customHeight="1">
      <x:c r="A11" s="51" t="str">
        <x:v>1. A receita do ultimo mes cresceu 6.6% frente ao mes anterior.</x:v>
      </x:c>
      <x:c r="B11" s="52"/>
      <x:c r="C11" s="52"/>
      <x:c r="D11" s="52"/>
      <x:c r="E11" s="52"/>
      <x:c r="F11" s="52"/>
      <x:c r="G11" s="52"/>
      <x:c r="H11" s="53"/>
    </x:row>
    <x:row r="12" ht="28" customHeight="1">
      <x:c r="A12" s="54" t="str">
        <x:v>2. Comercial lidera a receita com R$ 4,343,427 no periodo.</x:v>
      </x:c>
      <x:c r="B12" s="55"/>
      <x:c r="C12" s="55"/>
      <x:c r="D12" s="55"/>
      <x:c r="E12" s="55"/>
      <x:c r="F12" s="55"/>
      <x:c r="G12" s="55"/>
      <x:c r="H12" s="56"/>
    </x:row>
    <x:row r="13" ht="28" customHeight="1">
      <x:c r="A13" s="54" t="str">
        <x:v>3. Gama Servicos e o principal cliente, com R$ 1,837,870 em receita liquida.</x:v>
      </x:c>
      <x:c r="B13" s="55"/>
      <x:c r="C13" s="55"/>
      <x:c r="D13" s="55"/>
      <x:c r="E13" s="55"/>
      <x:c r="F13" s="55"/>
      <x:c r="G13" s="55"/>
      <x:c r="H13" s="56"/>
    </x:row>
    <x:row r="14" ht="28" customHeight="1">
      <x:c r="A14" s="54" t="str">
        <x:v>4. A margem consolidada foi de 37.4%; o ultimo mes fechou em R$ 451,813 de margem bruta.</x:v>
      </x:c>
      <x:c r="B14" s="55"/>
      <x:c r="C14" s="55"/>
      <x:c r="D14" s="55"/>
      <x:c r="E14" s="55"/>
      <x:c r="F14" s="55"/>
      <x:c r="G14" s="55"/>
      <x:c r="H14" s="56"/>
    </x:row>
    <x:row r="15" ht="28" customHeight="1">
      <x:c r="A15" s="57" t="str">
        <x:v>5. Foram processadas 648 transacoes, com ticket medio de R$ 19,143.</x:v>
      </x:c>
      <x:c r="B15" s="58"/>
      <x:c r="C15" s="58"/>
      <x:c r="D15" s="58"/>
      <x:c r="E15" s="58"/>
      <x:c r="F15" s="58"/>
      <x:c r="G15" s="58"/>
      <x:c r="H15" s="59"/>
    </x:row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</x:sheetData>
  <x:mergeCells>
    <x:mergeCell ref="A1:P2"/>
    <x:mergeCell ref="A3:P3"/>
    <x:mergeCell ref="A5:B5"/>
    <x:mergeCell ref="A6:B6"/>
    <x:mergeCell ref="D5:E5"/>
    <x:mergeCell ref="D6:E6"/>
    <x:mergeCell ref="G5:H5"/>
    <x:mergeCell ref="G6:H6"/>
    <x:mergeCell ref="A7:B7"/>
    <x:mergeCell ref="A8:B8"/>
    <x:mergeCell ref="D7:E7"/>
    <x:mergeCell ref="D8:E8"/>
    <x:mergeCell ref="G7:H7"/>
    <x:mergeCell ref="G8:H8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  <x:drawing xmlns:r="http://schemas.openxmlformats.org/officeDocument/2006/relationships" r:id="R3fc27e409ff34b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.75" hidden="0" customWidth="1"/>
    <x:col min="3" max="3" width="16.8799991607666" hidden="0" customWidth="1"/>
    <x:col min="4" max="4" width="8.880000114440918" hidden="0" customWidth="1"/>
    <x:col min="5" max="5" width="8.75" hidden="0" customWidth="1"/>
    <x:col min="6" max="6" width="10" hidden="0" customWidth="1"/>
  </x:cols>
  <x:sheetData>
    <x:row r="1">
      <x:c r="A1" s="64" t="str">
        <x:v>Mês</x:v>
      </x:c>
      <x:c r="B1" s="64" t="str">
        <x:v>Receita líquida</x:v>
      </x:c>
      <x:c r="C1" s="64" t="str">
        <x:v>Margem bruta</x:v>
      </x:c>
      <x:c r="D1" s="64" t="str">
        <x:v>Transações</x:v>
      </x:c>
      <x:c r="E1" s="64" t="str">
        <x:v>Margem %</x:v>
      </x:c>
      <x:c r="F1" s="64" t="str">
        <x:v>Crescimento</x:v>
      </x:c>
    </x:row>
    <x:row r="2">
      <x:c r="A2" s="65" t="str">
        <x:v>Jul/25</x:v>
      </x:c>
      <x:c r="B2" s="66" t="n">
        <x:v>935678.22</x:v>
      </x:c>
      <x:c r="C2" s="66" t="n">
        <x:v>338607.99</x:v>
      </x:c>
      <x:c r="D2" s="67" t="n">
        <x:v>54</x:v>
      </x:c>
      <x:c r="E2" s="68" t="n">
        <x:v>0.36188508267297276</x:v>
      </x:c>
      <x:c r="F2" s="68" t="n">
        <x:v>0</x:v>
      </x:c>
    </x:row>
    <x:row r="3">
      <x:c r="A3" s="65" t="str">
        <x:v>Ago/25</x:v>
      </x:c>
      <x:c r="B3" s="66" t="n">
        <x:v>928412.89</x:v>
      </x:c>
      <x:c r="C3" s="66" t="n">
        <x:v>349267.08999999997</x:v>
      </x:c>
      <x:c r="D3" s="67" t="n">
        <x:v>54</x:v>
      </x:c>
      <x:c r="E3" s="68" t="n">
        <x:v>0.3761980189654626</x:v>
      </x:c>
      <x:c r="F3" s="68" t="n">
        <x:v>-0.007764774090819326</x:v>
      </x:c>
    </x:row>
    <x:row r="4">
      <x:c r="A4" s="65" t="str">
        <x:v>Set/25</x:v>
      </x:c>
      <x:c r="B4" s="66" t="n">
        <x:v>969096.72</x:v>
      </x:c>
      <x:c r="C4" s="66" t="n">
        <x:v>361210.18</x:v>
      </x:c>
      <x:c r="D4" s="67" t="n">
        <x:v>54</x:v>
      </x:c>
      <x:c r="E4" s="68" t="n">
        <x:v>0.3727287199981443</x:v>
      </x:c>
      <x:c r="F4" s="68" t="n">
        <x:v>0.04382083708467244</x:v>
      </x:c>
    </x:row>
    <x:row r="5">
      <x:c r="A5" s="65" t="str">
        <x:v>Out/25</x:v>
      </x:c>
      <x:c r="B5" s="66" t="n">
        <x:v>967266.26</x:v>
      </x:c>
      <x:c r="C5" s="66" t="n">
        <x:v>361761.37</x:v>
      </x:c>
      <x:c r="D5" s="67" t="n">
        <x:v>54</x:v>
      </x:c>
      <x:c r="E5" s="68" t="n">
        <x:v>0.37400391697731705</x:v>
      </x:c>
      <x:c r="F5" s="68" t="n">
        <x:v>-0.0018888310756020044</x:v>
      </x:c>
    </x:row>
    <x:row r="6">
      <x:c r="A6" s="65" t="str">
        <x:v>Nov/25</x:v>
      </x:c>
      <x:c r="B6" s="66" t="n">
        <x:v>997058.53</x:v>
      </x:c>
      <x:c r="C6" s="66" t="n">
        <x:v>372966.34</x:v>
      </x:c>
      <x:c r="D6" s="67" t="n">
        <x:v>54</x:v>
      </x:c>
      <x:c r="E6" s="68" t="n">
        <x:v>0.3740666458166704</x:v>
      </x:c>
      <x:c r="F6" s="68" t="n">
        <x:v>0.030800485070160644</x:v>
      </x:c>
    </x:row>
    <x:row r="7">
      <x:c r="A7" s="65" t="str">
        <x:v>Dez/25</x:v>
      </x:c>
      <x:c r="B7" s="66" t="n">
        <x:v>1020490.51</x:v>
      </x:c>
      <x:c r="C7" s="66" t="n">
        <x:v>379500.99</x:v>
      </x:c>
      <x:c r="D7" s="67" t="n">
        <x:v>54</x:v>
      </x:c>
      <x:c r="E7" s="68" t="n">
        <x:v>0.37188095948094607</x:v>
      </x:c>
      <x:c r="F7" s="68" t="n">
        <x:v>0.023501107803570953</x:v>
      </x:c>
    </x:row>
    <x:row r="8">
      <x:c r="A8" s="65" t="str">
        <x:v>Jan/26</x:v>
      </x:c>
      <x:c r="B8" s="66" t="n">
        <x:v>1054874.96</x:v>
      </x:c>
      <x:c r="C8" s="66" t="n">
        <x:v>392893.7</x:v>
      </x:c>
      <x:c r="D8" s="67" t="n">
        <x:v>54</x:v>
      </x:c>
      <x:c r="E8" s="68" t="n">
        <x:v>0.37245523393597285</x:v>
      </x:c>
      <x:c r="F8" s="68" t="n">
        <x:v>0.033694041897557536</x:v>
      </x:c>
    </x:row>
    <x:row r="9">
      <x:c r="A9" s="65" t="str">
        <x:v>Fev/26</x:v>
      </x:c>
      <x:c r="B9" s="66" t="n">
        <x:v>1076795.97</x:v>
      </x:c>
      <x:c r="C9" s="66" t="n">
        <x:v>405209.39999999997</x:v>
      </x:c>
      <x:c r="D9" s="67" t="n">
        <x:v>54</x:v>
      </x:c>
      <x:c r="E9" s="68" t="n">
        <x:v>0.3763102865253108</x:v>
      </x:c>
      <x:c r="F9" s="68" t="n">
        <x:v>0.020780671483566104</x:v>
      </x:c>
    </x:row>
    <x:row r="10">
      <x:c r="A10" s="65" t="str">
        <x:v>Mar/26</x:v>
      </x:c>
      <x:c r="B10" s="66" t="n">
        <x:v>1046734.8</x:v>
      </x:c>
      <x:c r="C10" s="66" t="n">
        <x:v>398483.7</x:v>
      </x:c>
      <x:c r="D10" s="67" t="n">
        <x:v>54</x:v>
      </x:c>
      <x:c r="E10" s="68" t="n">
        <x:v>0.38069212946775055</x:v>
      </x:c>
      <x:c r="F10" s="68" t="n">
        <x:v>-0.027917238583275883</x:v>
      </x:c>
    </x:row>
    <x:row r="11">
      <x:c r="A11" s="65" t="str">
        <x:v>Abr/26</x:v>
      </x:c>
      <x:c r="B11" s="66" t="n">
        <x:v>1094733.37</x:v>
      </x:c>
      <x:c r="C11" s="66" t="n">
        <x:v>404140.79</x:v>
      </x:c>
      <x:c r="D11" s="67" t="n">
        <x:v>54</x:v>
      </x:c>
      <x:c r="E11" s="68" t="n">
        <x:v>0.3691682386552261</x:v>
      </x:c>
      <x:c r="F11" s="68" t="n">
        <x:v>0.04585552137943627</x:v>
      </x:c>
    </x:row>
    <x:row r="12">
      <x:c r="A12" s="65" t="str">
        <x:v>Mai/26</x:v>
      </x:c>
      <x:c r="B12" s="66" t="n">
        <x:v>1120112.35</x:v>
      </x:c>
      <x:c r="C12" s="66" t="n">
        <x:v>423184.57999999996</x:v>
      </x:c>
      <x:c r="D12" s="67" t="n">
        <x:v>54</x:v>
      </x:c>
      <x:c r="E12" s="68" t="n">
        <x:v>0.37780547638814976</x:v>
      </x:c>
      <x:c r="F12" s="68" t="n">
        <x:v>0.023182795642741727</x:v>
      </x:c>
    </x:row>
    <x:row r="13">
      <x:c r="A13" s="65" t="str">
        <x:v>Jun/26</x:v>
      </x:c>
      <x:c r="B13" s="66" t="n">
        <x:v>1193482.77</x:v>
      </x:c>
      <x:c r="C13" s="66" t="n">
        <x:v>451812.63</x:v>
      </x:c>
      <x:c r="D13" s="67" t="n">
        <x:v>54</x:v>
      </x:c>
      <x:c r="E13" s="68" t="n">
        <x:v>0.37856652928470846</x:v>
      </x:c>
      <x:c r="F13" s="68" t="n">
        <x:v>0.06550273282854158</x:v>
      </x:c>
    </x:row>
  </x:sheetData>
  <x:conditionalFormatting sqref="F2:F13">
    <x:cfRule type="colorScale" priority="1">
      <x:colorScale>
        <x:cfvo type="min"/>
        <x:cfvo type="percentile" val="50"/>
        <x:cfvo type="max"/>
        <x:color rgb="FFFADBD8"/>
        <x:color rgb="FFFFFFFF"/>
        <x:color rgb="FFD5F5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1cf6955ba344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11.75" hidden="0" customWidth="1"/>
    <x:col min="3" max="3" width="11.5" hidden="0" customWidth="1"/>
    <x:col min="4" max="4" width="8.75" hidden="0" customWidth="1"/>
  </x:cols>
  <x:sheetData>
    <x:row r="1">
      <x:c r="A1" s="72" t="str">
        <x:v>Área</x:v>
      </x:c>
      <x:c r="B1" s="72" t="str">
        <x:v>Receita líquida</x:v>
      </x:c>
      <x:c r="C1" s="72" t="str">
        <x:v>Margem bruta</x:v>
      </x:c>
      <x:c r="D1" s="72" t="str">
        <x:v>Margem %</x:v>
      </x:c>
    </x:row>
    <x:row r="2">
      <x:c r="A2" s="65" t="str">
        <x:v>Comercial</x:v>
      </x:c>
      <x:c r="B2" s="66" t="n">
        <x:v>4343427.31</x:v>
      </x:c>
      <x:c r="C2" s="66" t="n">
        <x:v>1913444.39</x:v>
      </x:c>
      <x:c r="D2" s="68" t="n">
        <x:v>0.44053791014174937</x:v>
      </x:c>
    </x:row>
    <x:row r="3">
      <x:c r="A3" s="65" t="str">
        <x:v>Tecnologia</x:v>
      </x:c>
      <x:c r="B3" s="66" t="n">
        <x:v>3961917.66</x:v>
      </x:c>
      <x:c r="C3" s="66" t="n">
        <x:v>1504850.66</x:v>
      </x:c>
      <x:c r="D3" s="68" t="n">
        <x:v>0.3798288579273502</x:v>
      </x:c>
    </x:row>
    <x:row r="4">
      <x:c r="A4" s="65" t="str">
        <x:v>Operacoes</x:v>
      </x:c>
      <x:c r="B4" s="66" t="n">
        <x:v>2721986.06</x:v>
      </x:c>
      <x:c r="C4" s="66" t="n">
        <x:v>844037.24</x:v>
      </x:c>
      <x:c r="D4" s="68" t="n">
        <x:v>0.3100813969635098</x:v>
      </x:c>
    </x:row>
    <x:row r="5">
      <x:c r="A5" s="65" t="str">
        <x:v>Marketing</x:v>
      </x:c>
      <x:c r="B5" s="66" t="n">
        <x:v>1377406.32</x:v>
      </x:c>
      <x:c r="C5" s="66" t="n">
        <x:v>376706.47</x:v>
      </x:c>
      <x:c r="D5" s="68" t="n">
        <x:v>0.2734897208835226</x:v>
      </x:c>
    </x:row>
  </x:sheetData>
  <x:conditionalFormatting sqref="D2:D5">
    <x:cfRule type="dataBar" priority="1">
      <x:dataBar>
        <x:cfvo type="min"/>
        <x:cfvo type="max"/>
        <x:color rgb="FF2CA6A4"/>
      </x:dataBar>
      <x:extLst>
        <x:ext xmlns:x14="http://schemas.microsoft.com/office/spreadsheetml/2009/9/main" uri="{B025F937-C7B1-47D3-B67F-A62EFF666E3E}">
          <x14:id>{65BFE943-D598-2D7B-295B-5EF9E421D4E8}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127f04d36e34ae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BFE943-D598-2D7B-295B-5EF9E421D4E8}">
            <x14:dataBar gradient="1">
              <x14:cfvo type="min"/>
              <x14:cfvo type="max"/>
              <x14:fillColor rgb="FF2CA6A4"/>
            </x14:dataBar>
          </x14:cfRule>
          <xm:sqref>D2:D5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5" hidden="0" customWidth="1"/>
    <x:col min="2" max="2" width="4.130000114440918" hidden="0" customWidth="1"/>
    <x:col min="3" max="3" width="4.130000114440918" hidden="0" customWidth="1"/>
    <x:col min="4" max="4" width="4.75" hidden="0" customWidth="1"/>
    <x:col min="5" max="5" width="5.75" hidden="0" customWidth="1"/>
    <x:col min="6" max="6" width="18" hidden="0" customWidth="1"/>
    <x:col min="7" max="7" width="16" hidden="0" customWidth="1"/>
    <x:col min="8" max="8" width="10.75" hidden="0" customWidth="1"/>
    <x:col min="9" max="9" width="7.75" hidden="0" customWidth="1"/>
    <x:col min="10" max="10" width="4.880000114440918" hidden="0" customWidth="1"/>
    <x:col min="11" max="11" width="11.75" hidden="0" customWidth="1"/>
    <x:col min="12" max="12" width="11.5" hidden="0" customWidth="1"/>
  </x:cols>
  <x:sheetData>
    <x:row r="1">
      <x:c r="A1" s="64" t="str">
        <x:v>ID</x:v>
      </x:c>
      <x:c r="B1" s="64" t="str">
        <x:v>Data</x:v>
      </x:c>
      <x:c r="C1" s="64" t="str">
        <x:v>Área</x:v>
      </x:c>
      <x:c r="D1" s="64" t="str">
        <x:v>Canal</x:v>
      </x:c>
      <x:c r="E1" s="64" t="str">
        <x:v>Região</x:v>
      </x:c>
      <x:c r="F1" s="64" t="str">
        <x:v>Cliente</x:v>
      </x:c>
      <x:c r="G1" s="64" t="str">
        <x:v>Responsável</x:v>
      </x:c>
      <x:c r="H1" s="64" t="str">
        <x:v>Receita bruta</x:v>
      </x:c>
      <x:c r="I1" s="64" t="str">
        <x:v>Desconto</x:v>
      </x:c>
      <x:c r="J1" s="64" t="str">
        <x:v>Custo</x:v>
      </x:c>
      <x:c r="K1" s="64" t="str">
        <x:v>Receita líquida</x:v>
      </x:c>
      <x:c r="L1" s="64" t="str">
        <x:v>Margem bruta</x:v>
      </x:c>
    </x:row>
    <x:row r="2">
      <x:c r="A2" s="65" t="str">
        <x:v>TX-1023</x:v>
      </x:c>
      <x:c r="B2" s="65" t="str">
        <x:v>2025-07-01</x:v>
      </x:c>
      <x:c r="C2" s="65" t="str">
        <x:v>Operacoes</x:v>
      </x:c>
      <x:c r="D2" s="65" t="str">
        <x:v>Direto</x:v>
      </x:c>
      <x:c r="E2" s="65" t="str">
        <x:v>Sudeste</x:v>
      </x:c>
      <x:c r="F2" s="65" t="str">
        <x:v>Foco Energia</x:v>
      </x:c>
      <x:c r="G2" s="65" t="str">
        <x:v>Elisa</x:v>
      </x:c>
      <x:c r="H2" s="74" t="n">
        <x:v>17221.78</x:v>
      </x:c>
      <x:c r="I2" s="74" t="n">
        <x:v>341.29</x:v>
      </x:c>
      <x:c r="J2" s="74" t="n">
        <x:v>12084.6</x:v>
      </x:c>
      <x:c r="K2" s="74" t="n">
        <x:v>16880.489999999998</x:v>
      </x:c>
      <x:c r="L2" s="74" t="n">
        <x:v>4795.889999999998</x:v>
      </x:c>
    </x:row>
    <x:row r="3">
      <x:c r="A3" s="65" t="str">
        <x:v>TX-1013</x:v>
      </x:c>
      <x:c r="B3" s="65" t="str">
        <x:v>2025-07-01</x:v>
      </x:c>
      <x:c r="C3" s="65" t="str">
        <x:v>Comercial</x:v>
      </x:c>
      <x:c r="D3" s="65" t="str">
        <x:v>Digital</x:v>
      </x:c>
      <x:c r="E3" s="65" t="str">
        <x:v>Nordeste</x:v>
      </x:c>
      <x:c r="F3" s="65" t="str">
        <x:v>Horizonte Tech</x:v>
      </x:c>
      <x:c r="G3" s="65" t="str">
        <x:v>Ana</x:v>
      </x:c>
      <x:c r="H3" s="74" t="n">
        <x:v>16455.81</x:v>
      </x:c>
      <x:c r="I3" s="74" t="n">
        <x:v>696.6</x:v>
      </x:c>
      <x:c r="J3" s="74" t="n">
        <x:v>9010.09</x:v>
      </x:c>
      <x:c r="K3" s="74" t="n">
        <x:v>15759.210000000001</x:v>
      </x:c>
      <x:c r="L3" s="74" t="n">
        <x:v>6749.120000000001</x:v>
      </x:c>
    </x:row>
    <x:row r="4">
      <x:c r="A4" s="65" t="str">
        <x:v>TX-1027</x:v>
      </x:c>
      <x:c r="B4" s="65" t="str">
        <x:v>2025-07-02</x:v>
      </x:c>
      <x:c r="C4" s="65" t="str">
        <x:v>Tecnologia</x:v>
      </x:c>
      <x:c r="D4" s="65" t="str">
        <x:v>Digital</x:v>
      </x:c>
      <x:c r="E4" s="65" t="str">
        <x:v>Centro-Oeste</x:v>
      </x:c>
      <x:c r="F4" s="65" t="str">
        <x:v>Beta Logistica</x:v>
      </x:c>
      <x:c r="G4" s="65" t="str">
        <x:v>Felipe</x:v>
      </x:c>
      <x:c r="H4" s="74" t="n">
        <x:v>14393.84</x:v>
      </x:c>
      <x:c r="I4" s="74" t="n">
        <x:v>1042.36</x:v>
      </x:c>
      <x:c r="J4" s="74" t="n">
        <x:v>7750.84</x:v>
      </x:c>
      <x:c r="K4" s="74" t="n">
        <x:v>13351.48</x:v>
      </x:c>
      <x:c r="L4" s="74" t="n">
        <x:v>5600.639999999999</x:v>
      </x:c>
    </x:row>
    <x:row r="5">
      <x:c r="A5" s="65" t="str">
        <x:v>TX-1016</x:v>
      </x:c>
      <x:c r="B5" s="65" t="str">
        <x:v>2025-07-02</x:v>
      </x:c>
      <x:c r="C5" s="65" t="str">
        <x:v>Operacoes</x:v>
      </x:c>
      <x:c r="D5" s="65" t="str">
        <x:v>Direto</x:v>
      </x:c>
      <x:c r="E5" s="65" t="str">
        <x:v>Sul</x:v>
      </x:c>
      <x:c r="F5" s="65" t="str">
        <x:v>Horizonte Tech</x:v>
      </x:c>
      <x:c r="G5" s="65" t="str">
        <x:v>Ana</x:v>
      </x:c>
      <x:c r="H5" s="74" t="n">
        <x:v>19427.56</x:v>
      </x:c>
      <x:c r="I5" s="74" t="n">
        <x:v>805.38</x:v>
      </x:c>
      <x:c r="J5" s="74" t="n">
        <x:v>12944.95</x:v>
      </x:c>
      <x:c r="K5" s="74" t="n">
        <x:v>18622.18</x:v>
      </x:c>
      <x:c r="L5" s="74" t="n">
        <x:v>5677.23</x:v>
      </x:c>
    </x:row>
    <x:row r="6">
      <x:c r="A6" s="65" t="str">
        <x:v>TX-1043</x:v>
      </x:c>
      <x:c r="B6" s="65" t="str">
        <x:v>2025-07-02</x:v>
      </x:c>
      <x:c r="C6" s="65" t="str">
        <x:v>Comercial</x:v>
      </x:c>
      <x:c r="D6" s="65" t="str">
        <x:v>Digital</x:v>
      </x:c>
      <x:c r="E6" s="65" t="str">
        <x:v>Sul</x:v>
      </x:c>
      <x:c r="F6" s="65" t="str">
        <x:v>Crescer Educacao</x:v>
      </x:c>
      <x:c r="G6" s="65" t="str">
        <x:v>Ana</x:v>
      </x:c>
      <x:c r="H6" s="74" t="n">
        <x:v>31693.52</x:v>
      </x:c>
      <x:c r="I6" s="74" t="n">
        <x:v>870.21</x:v>
      </x:c>
      <x:c r="J6" s="74" t="n">
        <x:v>16048.65</x:v>
      </x:c>
      <x:c r="K6" s="74" t="n">
        <x:v>30823.31</x:v>
      </x:c>
      <x:c r="L6" s="74" t="n">
        <x:v>14774.660000000002</x:v>
      </x:c>
    </x:row>
    <x:row r="7">
      <x:c r="A7" s="65" t="str">
        <x:v>TX-1044</x:v>
      </x:c>
      <x:c r="B7" s="65" t="str">
        <x:v>2025-07-03</x:v>
      </x:c>
      <x:c r="C7" s="65" t="str">
        <x:v>Tecnologia</x:v>
      </x:c>
      <x:c r="D7" s="65" t="str">
        <x:v>Direto</x:v>
      </x:c>
      <x:c r="E7" s="65" t="str">
        <x:v>Sul</x:v>
      </x:c>
      <x:c r="F7" s="65" t="str">
        <x:v>Horizonte Tech</x:v>
      </x:c>
      <x:c r="G7" s="65" t="str">
        <x:v>Elisa</x:v>
      </x:c>
      <x:c r="H7" s="74" t="n">
        <x:v>20242.4</x:v>
      </x:c>
      <x:c r="I7" s="74" t="n">
        <x:v>346.49</x:v>
      </x:c>
      <x:c r="J7" s="74" t="n">
        <x:v>11742.99</x:v>
      </x:c>
      <x:c r="K7" s="74" t="n">
        <x:v>19895.91</x:v>
      </x:c>
      <x:c r="L7" s="74" t="n">
        <x:v>8152.92</x:v>
      </x:c>
    </x:row>
    <x:row r="8">
      <x:c r="A8" s="65" t="str">
        <x:v>TX-1045</x:v>
      </x:c>
      <x:c r="B8" s="65" t="str">
        <x:v>2025-07-03</x:v>
      </x:c>
      <x:c r="C8" s="65" t="str">
        <x:v>Operacoes</x:v>
      </x:c>
      <x:c r="D8" s="65" t="str">
        <x:v>Parceiros</x:v>
      </x:c>
      <x:c r="E8" s="65" t="str">
        <x:v>Centro-Oeste</x:v>
      </x:c>
      <x:c r="F8" s="65" t="str">
        <x:v>Foco Energia</x:v>
      </x:c>
      <x:c r="G8" s="65" t="str">
        <x:v>Diego</x:v>
      </x:c>
      <x:c r="H8" s="74" t="n">
        <x:v>18351.8</x:v>
      </x:c>
      <x:c r="I8" s="74" t="n">
        <x:v>1441.9</x:v>
      </x:c>
      <x:c r="J8" s="74" t="n">
        <x:v>11867.17</x:v>
      </x:c>
      <x:c r="K8" s="74" t="n">
        <x:v>16909.899999999998</x:v>
      </x:c>
      <x:c r="L8" s="74" t="n">
        <x:v>5042.729999999998</x:v>
      </x:c>
    </x:row>
    <x:row r="9">
      <x:c r="A9" s="65" t="str">
        <x:v>TX-1015</x:v>
      </x:c>
      <x:c r="B9" s="65" t="str">
        <x:v>2025-07-03</x:v>
      </x:c>
      <x:c r="C9" s="65" t="str">
        <x:v>Comercial</x:v>
      </x:c>
      <x:c r="D9" s="65" t="str">
        <x:v>Parceiros</x:v>
      </x:c>
      <x:c r="E9" s="65" t="str">
        <x:v>Sul</x:v>
      </x:c>
      <x:c r="F9" s="65" t="str">
        <x:v>Gama Servicos</x:v>
      </x:c>
      <x:c r="G9" s="65" t="str">
        <x:v>Felipe</x:v>
      </x:c>
      <x:c r="H9" s="74" t="n">
        <x:v>17210.46</x:v>
      </x:c>
      <x:c r="I9" s="74" t="n">
        <x:v>1266.7</x:v>
      </x:c>
      <x:c r="J9" s="74" t="n">
        <x:v>9289.42</x:v>
      </x:c>
      <x:c r="K9" s="74" t="n">
        <x:v>15943.759999999998</x:v>
      </x:c>
      <x:c r="L9" s="74" t="n">
        <x:v>6654.339999999998</x:v>
      </x:c>
    </x:row>
    <x:row r="10">
      <x:c r="A10" s="65" t="str">
        <x:v>TX-1018</x:v>
      </x:c>
      <x:c r="B10" s="65" t="str">
        <x:v>2025-07-03</x:v>
      </x:c>
      <x:c r="C10" s="65" t="str">
        <x:v>Operacoes</x:v>
      </x:c>
      <x:c r="D10" s="65" t="str">
        <x:v>Parceiros</x:v>
      </x:c>
      <x:c r="E10" s="65" t="str">
        <x:v>Nordeste</x:v>
      </x:c>
      <x:c r="F10" s="65" t="str">
        <x:v>Alfa Industria</x:v>
      </x:c>
      <x:c r="G10" s="65" t="str">
        <x:v>Elisa</x:v>
      </x:c>
      <x:c r="H10" s="74" t="n">
        <x:v>17509.17</x:v>
      </x:c>
      <x:c r="I10" s="74" t="n">
        <x:v>943.95</x:v>
      </x:c>
      <x:c r="J10" s="74" t="n">
        <x:v>10766.66</x:v>
      </x:c>
      <x:c r="K10" s="74" t="n">
        <x:v>16565.219999999998</x:v>
      </x:c>
      <x:c r="L10" s="74" t="n">
        <x:v>5798.559999999998</x:v>
      </x:c>
    </x:row>
    <x:row r="11">
      <x:c r="A11" s="65" t="str">
        <x:v>TX-1006</x:v>
      </x:c>
      <x:c r="B11" s="65" t="str">
        <x:v>2025-07-03</x:v>
      </x:c>
      <x:c r="C11" s="65" t="str">
        <x:v>Operacoes</x:v>
      </x:c>
      <x:c r="D11" s="65" t="str">
        <x:v>Direto</x:v>
      </x:c>
      <x:c r="E11" s="65" t="str">
        <x:v>Centro-Oeste</x:v>
      </x:c>
      <x:c r="F11" s="65" t="str">
        <x:v>Gama Servicos</x:v>
      </x:c>
      <x:c r="G11" s="65" t="str">
        <x:v>Carla</x:v>
      </x:c>
      <x:c r="H11" s="74" t="n">
        <x:v>19449.37</x:v>
      </x:c>
      <x:c r="I11" s="74" t="n">
        <x:v>1328.15</x:v>
      </x:c>
      <x:c r="J11" s="74" t="n">
        <x:v>13034.23</x:v>
      </x:c>
      <x:c r="K11" s="74" t="n">
        <x:v>18121.219999999998</x:v>
      </x:c>
      <x:c r="L11" s="74" t="n">
        <x:v>5086.989999999998</x:v>
      </x:c>
    </x:row>
    <x:row r="12">
      <x:c r="A12" s="65" t="str">
        <x:v>TX-1041</x:v>
      </x:c>
      <x:c r="B12" s="65" t="str">
        <x:v>2025-07-04</x:v>
      </x:c>
      <x:c r="C12" s="65" t="str">
        <x:v>Comercial</x:v>
      </x:c>
      <x:c r="D12" s="65" t="str">
        <x:v>Digital</x:v>
      </x:c>
      <x:c r="E12" s="65" t="str">
        <x:v>Sudeste</x:v>
      </x:c>
      <x:c r="F12" s="65" t="str">
        <x:v>Delta Varejo</x:v>
      </x:c>
      <x:c r="G12" s="65" t="str">
        <x:v>Diego</x:v>
      </x:c>
      <x:c r="H12" s="74" t="n">
        <x:v>20094.94</x:v>
      </x:c>
      <x:c r="I12" s="74" t="n">
        <x:v>278.87</x:v>
      </x:c>
      <x:c r="J12" s="74" t="n">
        <x:v>10981.98</x:v>
      </x:c>
      <x:c r="K12" s="74" t="n">
        <x:v>19816.07</x:v>
      </x:c>
      <x:c r="L12" s="74" t="n">
        <x:v>8834.09</x:v>
      </x:c>
    </x:row>
    <x:row r="13">
      <x:c r="A13" s="65" t="str">
        <x:v>TX-1009</x:v>
      </x:c>
      <x:c r="B13" s="65" t="str">
        <x:v>2025-07-04</x:v>
      </x:c>
      <x:c r="C13" s="65" t="str">
        <x:v>Comercial</x:v>
      </x:c>
      <x:c r="D13" s="65" t="str">
        <x:v>Direto</x:v>
      </x:c>
      <x:c r="E13" s="65" t="str">
        <x:v>Centro-Oeste</x:v>
      </x:c>
      <x:c r="F13" s="65" t="str">
        <x:v>Evo Saude</x:v>
      </x:c>
      <x:c r="G13" s="65" t="str">
        <x:v>Diego</x:v>
      </x:c>
      <x:c r="H13" s="74" t="n">
        <x:v>17709.84</x:v>
      </x:c>
      <x:c r="I13" s="74" t="n">
        <x:v>761.11</x:v>
      </x:c>
      <x:c r="J13" s="74" t="n">
        <x:v>10204.35</x:v>
      </x:c>
      <x:c r="K13" s="74" t="n">
        <x:v>16948.73</x:v>
      </x:c>
      <x:c r="L13" s="74" t="n">
        <x:v>6744.379999999999</x:v>
      </x:c>
    </x:row>
    <x:row r="14">
      <x:c r="A14" s="65" t="str">
        <x:v>TX-1050</x:v>
      </x:c>
      <x:c r="B14" s="65" t="str">
        <x:v>2025-07-05</x:v>
      </x:c>
      <x:c r="C14" s="65" t="str">
        <x:v>Operacoes</x:v>
      </x:c>
      <x:c r="D14" s="65" t="str">
        <x:v>Digital</x:v>
      </x:c>
      <x:c r="E14" s="65" t="str">
        <x:v>Sudeste</x:v>
      </x:c>
      <x:c r="F14" s="65" t="str">
        <x:v>Beta Logistica</x:v>
      </x:c>
      <x:c r="G14" s="65" t="str">
        <x:v>Diego</x:v>
      </x:c>
      <x:c r="H14" s="74" t="n">
        <x:v>15498.03</x:v>
      </x:c>
      <x:c r="I14" s="74" t="n">
        <x:v>841.61</x:v>
      </x:c>
      <x:c r="J14" s="74" t="n">
        <x:v>10368.47</x:v>
      </x:c>
      <x:c r="K14" s="74" t="n">
        <x:v>14656.42</x:v>
      </x:c>
      <x:c r="L14" s="74" t="n">
        <x:v>4287.950000000001</x:v>
      </x:c>
    </x:row>
    <x:row r="15">
      <x:c r="A15" s="65" t="str">
        <x:v>TX-1048</x:v>
      </x:c>
      <x:c r="B15" s="65" t="str">
        <x:v>2025-07-05</x:v>
      </x:c>
      <x:c r="C15" s="65" t="str">
        <x:v>Tecnologia</x:v>
      </x:c>
      <x:c r="D15" s="65" t="str">
        <x:v>Digital</x:v>
      </x:c>
      <x:c r="E15" s="65" t="str">
        <x:v>Sudeste</x:v>
      </x:c>
      <x:c r="F15" s="65" t="str">
        <x:v>Crescer Educacao</x:v>
      </x:c>
      <x:c r="G15" s="65" t="str">
        <x:v>Elisa</x:v>
      </x:c>
      <x:c r="H15" s="74" t="n">
        <x:v>22532.55</x:v>
      </x:c>
      <x:c r="I15" s="74" t="n">
        <x:v>741.88</x:v>
      </x:c>
      <x:c r="J15" s="74" t="n">
        <x:v>13543.62</x:v>
      </x:c>
      <x:c r="K15" s="74" t="n">
        <x:v>21790.67</x:v>
      </x:c>
      <x:c r="L15" s="74" t="n">
        <x:v>8247.049999999997</x:v>
      </x:c>
    </x:row>
    <x:row r="16">
      <x:c r="A16" s="65" t="str">
        <x:v>TX-1025</x:v>
      </x:c>
      <x:c r="B16" s="65" t="str">
        <x:v>2025-07-06</x:v>
      </x:c>
      <x:c r="C16" s="65" t="str">
        <x:v>Comercial</x:v>
      </x:c>
      <x:c r="D16" s="65" t="str">
        <x:v>Parceiros</x:v>
      </x:c>
      <x:c r="E16" s="65" t="str">
        <x:v>Centro-Oeste</x:v>
      </x:c>
      <x:c r="F16" s="65" t="str">
        <x:v>Horizonte Tech</x:v>
      </x:c>
      <x:c r="G16" s="65" t="str">
        <x:v>Bruno</x:v>
      </x:c>
      <x:c r="H16" s="74" t="n">
        <x:v>18244.14</x:v>
      </x:c>
      <x:c r="I16" s="74" t="n">
        <x:v>656.14</x:v>
      </x:c>
      <x:c r="J16" s="74" t="n">
        <x:v>10210.44</x:v>
      </x:c>
      <x:c r="K16" s="74" t="n">
        <x:v>17588</x:v>
      </x:c>
      <x:c r="L16" s="74" t="n">
        <x:v>7377.5599999999995</x:v>
      </x:c>
    </x:row>
    <x:row r="17">
      <x:c r="A17" s="65" t="str">
        <x:v>TX-1000</x:v>
      </x:c>
      <x:c r="B17" s="65" t="str">
        <x:v>2025-07-06</x:v>
      </x:c>
      <x:c r="C17" s="65" t="str">
        <x:v>Operacoes</x:v>
      </x:c>
      <x:c r="D17" s="65" t="str">
        <x:v>Direto</x:v>
      </x:c>
      <x:c r="E17" s="65" t="str">
        <x:v>Nordeste</x:v>
      </x:c>
      <x:c r="F17" s="65" t="str">
        <x:v>Horizonte Tech</x:v>
      </x:c>
      <x:c r="G17" s="65" t="str">
        <x:v>Elisa</x:v>
      </x:c>
      <x:c r="H17" s="74" t="n">
        <x:v>12673.06</x:v>
      </x:c>
      <x:c r="I17" s="74" t="n">
        <x:v>888.41</x:v>
      </x:c>
      <x:c r="J17" s="74" t="n">
        <x:v>7854.3</x:v>
      </x:c>
      <x:c r="K17" s="74" t="n">
        <x:v>11784.65</x:v>
      </x:c>
      <x:c r="L17" s="74" t="n">
        <x:v>3930.3499999999995</x:v>
      </x:c>
    </x:row>
    <x:row r="18">
      <x:c r="A18" s="65" t="str">
        <x:v>TX-1039</x:v>
      </x:c>
      <x:c r="B18" s="65" t="str">
        <x:v>2025-07-06</x:v>
      </x:c>
      <x:c r="C18" s="65" t="str">
        <x:v>Operacoes</x:v>
      </x:c>
      <x:c r="D18" s="65" t="str">
        <x:v>Parceiros</x:v>
      </x:c>
      <x:c r="E18" s="65" t="str">
        <x:v>Nordeste</x:v>
      </x:c>
      <x:c r="F18" s="65" t="str">
        <x:v>Crescer Educacao</x:v>
      </x:c>
      <x:c r="G18" s="65" t="str">
        <x:v>Ana</x:v>
      </x:c>
      <x:c r="H18" s="74" t="n">
        <x:v>23605.27</x:v>
      </x:c>
      <x:c r="I18" s="74" t="n">
        <x:v>410.01</x:v>
      </x:c>
      <x:c r="J18" s="74" t="n">
        <x:v>16684.1</x:v>
      </x:c>
      <x:c r="K18" s="74" t="n">
        <x:v>23195.260000000002</x:v>
      </x:c>
      <x:c r="L18" s="74" t="n">
        <x:v>6511.1600000000035</x:v>
      </x:c>
    </x:row>
    <x:row r="19">
      <x:c r="A19" s="65" t="str">
        <x:v>TX-1038</x:v>
      </x:c>
      <x:c r="B19" s="65" t="str">
        <x:v>2025-07-07</x:v>
      </x:c>
      <x:c r="C19" s="65" t="str">
        <x:v>Tecnologia</x:v>
      </x:c>
      <x:c r="D19" s="65" t="str">
        <x:v>Parceiros</x:v>
      </x:c>
      <x:c r="E19" s="65" t="str">
        <x:v>Nordeste</x:v>
      </x:c>
      <x:c r="F19" s="65" t="str">
        <x:v>Beta Logistica</x:v>
      </x:c>
      <x:c r="G19" s="65" t="str">
        <x:v>Bruno</x:v>
      </x:c>
      <x:c r="H19" s="74" t="n">
        <x:v>15917.93</x:v>
      </x:c>
      <x:c r="I19" s="74" t="n">
        <x:v>885.6</x:v>
      </x:c>
      <x:c r="J19" s="74" t="n">
        <x:v>9980.61</x:v>
      </x:c>
      <x:c r="K19" s="74" t="n">
        <x:v>15032.33</x:v>
      </x:c>
      <x:c r="L19" s="74" t="n">
        <x:v>5051.719999999999</x:v>
      </x:c>
    </x:row>
    <x:row r="20">
      <x:c r="A20" s="65" t="str">
        <x:v>TX-1030</x:v>
      </x:c>
      <x:c r="B20" s="65" t="str">
        <x:v>2025-07-08</x:v>
      </x:c>
      <x:c r="C20" s="65" t="str">
        <x:v>Comercial</x:v>
      </x:c>
      <x:c r="D20" s="65" t="str">
        <x:v>Direto</x:v>
      </x:c>
      <x:c r="E20" s="65" t="str">
        <x:v>Centro-Oeste</x:v>
      </x:c>
      <x:c r="F20" s="65" t="str">
        <x:v>Gama Servicos</x:v>
      </x:c>
      <x:c r="G20" s="65" t="str">
        <x:v>Bruno</x:v>
      </x:c>
      <x:c r="H20" s="74" t="n">
        <x:v>26553.49</x:v>
      </x:c>
      <x:c r="I20" s="74" t="n">
        <x:v>1891.12</x:v>
      </x:c>
      <x:c r="J20" s="74" t="n">
        <x:v>12944.43</x:v>
      </x:c>
      <x:c r="K20" s="74" t="n">
        <x:v>24662.370000000003</x:v>
      </x:c>
      <x:c r="L20" s="74" t="n">
        <x:v>11717.940000000002</x:v>
      </x:c>
    </x:row>
    <x:row r="21">
      <x:c r="A21" s="65" t="str">
        <x:v>TX-1024</x:v>
      </x:c>
      <x:c r="B21" s="65" t="str">
        <x:v>2025-07-09</x:v>
      </x:c>
      <x:c r="C21" s="65" t="str">
        <x:v>Comercial</x:v>
      </x:c>
      <x:c r="D21" s="65" t="str">
        <x:v>Direto</x:v>
      </x:c>
      <x:c r="E21" s="65" t="str">
        <x:v>Nordeste</x:v>
      </x:c>
      <x:c r="F21" s="65" t="str">
        <x:v>Horizonte Tech</x:v>
      </x:c>
      <x:c r="G21" s="65" t="str">
        <x:v>Felipe</x:v>
      </x:c>
      <x:c r="H21" s="74" t="n">
        <x:v>22066.61</x:v>
      </x:c>
      <x:c r="I21" s="74" t="n">
        <x:v>1343.63</x:v>
      </x:c>
      <x:c r="J21" s="74" t="n">
        <x:v>11537.38</x:v>
      </x:c>
      <x:c r="K21" s="74" t="n">
        <x:v>20722.98</x:v>
      </x:c>
      <x:c r="L21" s="74" t="n">
        <x:v>9185.6</x:v>
      </x:c>
    </x:row>
    <x:row r="22">
      <x:c r="A22" s="65" t="str">
        <x:v>TX-1010</x:v>
      </x:c>
      <x:c r="B22" s="65" t="str">
        <x:v>2025-07-09</x:v>
      </x:c>
      <x:c r="C22" s="65" t="str">
        <x:v>Tecnologia</x:v>
      </x:c>
      <x:c r="D22" s="65" t="str">
        <x:v>Parceiros</x:v>
      </x:c>
      <x:c r="E22" s="65" t="str">
        <x:v>Centro-Oeste</x:v>
      </x:c>
      <x:c r="F22" s="65" t="str">
        <x:v>Beta Logistica</x:v>
      </x:c>
      <x:c r="G22" s="65" t="str">
        <x:v>Bruno</x:v>
      </x:c>
      <x:c r="H22" s="74" t="n">
        <x:v>21952.66</x:v>
      </x:c>
      <x:c r="I22" s="74" t="n">
        <x:v>686.6</x:v>
      </x:c>
      <x:c r="J22" s="74" t="n">
        <x:v>13370.36</x:v>
      </x:c>
      <x:c r="K22" s="74" t="n">
        <x:v>21266.06</x:v>
      </x:c>
      <x:c r="L22" s="74" t="n">
        <x:v>7895.700000000001</x:v>
      </x:c>
    </x:row>
    <x:row r="23">
      <x:c r="A23" s="65" t="str">
        <x:v>TX-1005</x:v>
      </x:c>
      <x:c r="B23" s="65" t="str">
        <x:v>2025-07-09</x:v>
      </x:c>
      <x:c r="C23" s="65" t="str">
        <x:v>Tecnologia</x:v>
      </x:c>
      <x:c r="D23" s="65" t="str">
        <x:v>Digital</x:v>
      </x:c>
      <x:c r="E23" s="65" t="str">
        <x:v>Sul</x:v>
      </x:c>
      <x:c r="F23" s="65" t="str">
        <x:v>Crescer Educacao</x:v>
      </x:c>
      <x:c r="G23" s="65" t="str">
        <x:v>Bruno</x:v>
      </x:c>
      <x:c r="H23" s="74" t="n">
        <x:v>21590.72</x:v>
      </x:c>
      <x:c r="I23" s="74" t="n">
        <x:v>502.26</x:v>
      </x:c>
      <x:c r="J23" s="74" t="n">
        <x:v>13134.92</x:v>
      </x:c>
      <x:c r="K23" s="74" t="n">
        <x:v>21088.460000000003</x:v>
      </x:c>
      <x:c r="L23" s="74" t="n">
        <x:v>7953.540000000003</x:v>
      </x:c>
    </x:row>
    <x:row r="24">
      <x:c r="A24" s="65" t="str">
        <x:v>TX-1047</x:v>
      </x:c>
      <x:c r="B24" s="65" t="str">
        <x:v>2025-07-10</x:v>
      </x:c>
      <x:c r="C24" s="65" t="str">
        <x:v>Operacoes</x:v>
      </x:c>
      <x:c r="D24" s="65" t="str">
        <x:v>Direto</x:v>
      </x:c>
      <x:c r="E24" s="65" t="str">
        <x:v>Sul</x:v>
      </x:c>
      <x:c r="F24" s="65" t="str">
        <x:v>Evo Saude</x:v>
      </x:c>
      <x:c r="G24" s="65" t="str">
        <x:v>Bruno</x:v>
      </x:c>
      <x:c r="H24" s="74" t="n">
        <x:v>17749.78</x:v>
      </x:c>
      <x:c r="I24" s="74" t="n">
        <x:v>351.16</x:v>
      </x:c>
      <x:c r="J24" s="74" t="n">
        <x:v>12769.16</x:v>
      </x:c>
      <x:c r="K24" s="74" t="n">
        <x:v>17398.62</x:v>
      </x:c>
      <x:c r="L24" s="74" t="n">
        <x:v>4629.459999999999</x:v>
      </x:c>
    </x:row>
    <x:row r="25">
      <x:c r="A25" s="65" t="str">
        <x:v>TX-1028</x:v>
      </x:c>
      <x:c r="B25" s="65" t="str">
        <x:v>2025-07-11</x:v>
      </x:c>
      <x:c r="C25" s="65" t="str">
        <x:v>Tecnologia</x:v>
      </x:c>
      <x:c r="D25" s="65" t="str">
        <x:v>Parceiros</x:v>
      </x:c>
      <x:c r="E25" s="65" t="str">
        <x:v>Centro-Oeste</x:v>
      </x:c>
      <x:c r="F25" s="65" t="str">
        <x:v>Alfa Industria</x:v>
      </x:c>
      <x:c r="G25" s="65" t="str">
        <x:v>Elisa</x:v>
      </x:c>
      <x:c r="H25" s="74" t="n">
        <x:v>24212.81</x:v>
      </x:c>
      <x:c r="I25" s="74" t="n">
        <x:v>1550.61</x:v>
      </x:c>
      <x:c r="J25" s="74" t="n">
        <x:v>14283.38</x:v>
      </x:c>
      <x:c r="K25" s="74" t="n">
        <x:v>22662.2</x:v>
      </x:c>
      <x:c r="L25" s="74" t="n">
        <x:v>8378.820000000002</x:v>
      </x:c>
    </x:row>
    <x:row r="26">
      <x:c r="A26" s="65" t="str">
        <x:v>TX-1052</x:v>
      </x:c>
      <x:c r="B26" s="65" t="str">
        <x:v>2025-07-11</x:v>
      </x:c>
      <x:c r="C26" s="65" t="str">
        <x:v>Marketing</x:v>
      </x:c>
      <x:c r="D26" s="65" t="str">
        <x:v>Parceiros</x:v>
      </x:c>
      <x:c r="E26" s="65" t="str">
        <x:v>Sul</x:v>
      </x:c>
      <x:c r="F26" s="65" t="str">
        <x:v>Gama Servicos</x:v>
      </x:c>
      <x:c r="G26" s="65" t="str">
        <x:v>Felipe</x:v>
      </x:c>
      <x:c r="H26" s="74" t="n">
        <x:v>13395.58</x:v>
      </x:c>
      <x:c r="I26" s="74" t="n">
        <x:v>1033.09</x:v>
      </x:c>
      <x:c r="J26" s="74" t="n">
        <x:v>9184.8</x:v>
      </x:c>
      <x:c r="K26" s="74" t="n">
        <x:v>12362.49</x:v>
      </x:c>
      <x:c r="L26" s="74" t="n">
        <x:v>3177.6900000000005</x:v>
      </x:c>
    </x:row>
    <x:row r="27">
      <x:c r="A27" s="65" t="str">
        <x:v>TX-1032</x:v>
      </x:c>
      <x:c r="B27" s="65" t="str">
        <x:v>2025-07-11</x:v>
      </x:c>
      <x:c r="C27" s="65" t="str">
        <x:v>Comercial</x:v>
      </x:c>
      <x:c r="D27" s="65" t="str">
        <x:v>Direto</x:v>
      </x:c>
      <x:c r="E27" s="65" t="str">
        <x:v>Centro-Oeste</x:v>
      </x:c>
      <x:c r="F27" s="65" t="str">
        <x:v>Gama Servicos</x:v>
      </x:c>
      <x:c r="G27" s="65" t="str">
        <x:v>Ana</x:v>
      </x:c>
      <x:c r="H27" s="74" t="n">
        <x:v>20814.87</x:v>
      </x:c>
      <x:c r="I27" s="74" t="n">
        <x:v>1219.72</x:v>
      </x:c>
      <x:c r="J27" s="74" t="n">
        <x:v>11570.35</x:v>
      </x:c>
      <x:c r="K27" s="74" t="n">
        <x:v>19595.149999999998</x:v>
      </x:c>
      <x:c r="L27" s="74" t="n">
        <x:v>8024.799999999997</x:v>
      </x:c>
    </x:row>
    <x:row r="28">
      <x:c r="A28" s="65" t="str">
        <x:v>TX-1011</x:v>
      </x:c>
      <x:c r="B28" s="65" t="str">
        <x:v>2025-07-11</x:v>
      </x:c>
      <x:c r="C28" s="65" t="str">
        <x:v>Marketing</x:v>
      </x:c>
      <x:c r="D28" s="65" t="str">
        <x:v>Digital</x:v>
      </x:c>
      <x:c r="E28" s="65" t="str">
        <x:v>Sul</x:v>
      </x:c>
      <x:c r="F28" s="65" t="str">
        <x:v>Delta Varejo</x:v>
      </x:c>
      <x:c r="G28" s="65" t="str">
        <x:v>Diego</x:v>
      </x:c>
      <x:c r="H28" s="74" t="n">
        <x:v>9343.51</x:v>
      </x:c>
      <x:c r="I28" s="74" t="n">
        <x:v>131.57</x:v>
      </x:c>
      <x:c r="J28" s="74" t="n">
        <x:v>6610.22</x:v>
      </x:c>
      <x:c r="K28" s="74" t="n">
        <x:v>9211.94</x:v>
      </x:c>
      <x:c r="L28" s="74" t="n">
        <x:v>2601.7200000000003</x:v>
      </x:c>
    </x:row>
    <x:row r="29">
      <x:c r="A29" s="65" t="str">
        <x:v>TX-1012</x:v>
      </x:c>
      <x:c r="B29" s="65" t="str">
        <x:v>2025-07-11</x:v>
      </x:c>
      <x:c r="C29" s="65" t="str">
        <x:v>Tecnologia</x:v>
      </x:c>
      <x:c r="D29" s="65" t="str">
        <x:v>Digital</x:v>
      </x:c>
      <x:c r="E29" s="65" t="str">
        <x:v>Sul</x:v>
      </x:c>
      <x:c r="F29" s="65" t="str">
        <x:v>Beta Logistica</x:v>
      </x:c>
      <x:c r="G29" s="65" t="str">
        <x:v>Carla</x:v>
      </x:c>
      <x:c r="H29" s="74" t="n">
        <x:v>19852.45</x:v>
      </x:c>
      <x:c r="I29" s="74" t="n">
        <x:v>1121.7</x:v>
      </x:c>
      <x:c r="J29" s="74" t="n">
        <x:v>11757.92</x:v>
      </x:c>
      <x:c r="K29" s="74" t="n">
        <x:v>18730.75</x:v>
      </x:c>
      <x:c r="L29" s="74" t="n">
        <x:v>6972.83</x:v>
      </x:c>
    </x:row>
    <x:row r="30">
      <x:c r="A30" s="65" t="str">
        <x:v>TX-1019</x:v>
      </x:c>
      <x:c r="B30" s="65" t="str">
        <x:v>2025-07-11</x:v>
      </x:c>
      <x:c r="C30" s="65" t="str">
        <x:v>Comercial</x:v>
      </x:c>
      <x:c r="D30" s="65" t="str">
        <x:v>Digital</x:v>
      </x:c>
      <x:c r="E30" s="65" t="str">
        <x:v>Sudeste</x:v>
      </x:c>
      <x:c r="F30" s="65" t="str">
        <x:v>Beta Logistica</x:v>
      </x:c>
      <x:c r="G30" s="65" t="str">
        <x:v>Diego</x:v>
      </x:c>
      <x:c r="H30" s="74" t="n">
        <x:v>26164.91</x:v>
      </x:c>
      <x:c r="I30" s="74" t="n">
        <x:v>865.8</x:v>
      </x:c>
      <x:c r="J30" s="74" t="n">
        <x:v>13941.79</x:v>
      </x:c>
      <x:c r="K30" s="74" t="n">
        <x:v>25299.11</x:v>
      </x:c>
      <x:c r="L30" s="74" t="n">
        <x:v>11357.32</x:v>
      </x:c>
    </x:row>
    <x:row r="31">
      <x:c r="A31" s="65" t="str">
        <x:v>TX-1017</x:v>
      </x:c>
      <x:c r="B31" s="65" t="str">
        <x:v>2025-07-12</x:v>
      </x:c>
      <x:c r="C31" s="65" t="str">
        <x:v>Comercial</x:v>
      </x:c>
      <x:c r="D31" s="65" t="str">
        <x:v>Parceiros</x:v>
      </x:c>
      <x:c r="E31" s="65" t="str">
        <x:v>Centro-Oeste</x:v>
      </x:c>
      <x:c r="F31" s="65" t="str">
        <x:v>Alfa Industria</x:v>
      </x:c>
      <x:c r="G31" s="65" t="str">
        <x:v>Elisa</x:v>
      </x:c>
      <x:c r="H31" s="74" t="n">
        <x:v>22650.81</x:v>
      </x:c>
      <x:c r="I31" s="74" t="n">
        <x:v>1144.89</x:v>
      </x:c>
      <x:c r="J31" s="74" t="n">
        <x:v>12362.76</x:v>
      </x:c>
      <x:c r="K31" s="74" t="n">
        <x:v>21505.920000000002</x:v>
      </x:c>
      <x:c r="L31" s="74" t="n">
        <x:v>9143.160000000002</x:v>
      </x:c>
    </x:row>
    <x:row r="32">
      <x:c r="A32" s="65" t="str">
        <x:v>TX-1022</x:v>
      </x:c>
      <x:c r="B32" s="65" t="str">
        <x:v>2025-07-14</x:v>
      </x:c>
      <x:c r="C32" s="65" t="str">
        <x:v>Tecnologia</x:v>
      </x:c>
      <x:c r="D32" s="65" t="str">
        <x:v>Parceiros</x:v>
      </x:c>
      <x:c r="E32" s="65" t="str">
        <x:v>Centro-Oeste</x:v>
      </x:c>
      <x:c r="F32" s="65" t="str">
        <x:v>Delta Varejo</x:v>
      </x:c>
      <x:c r="G32" s="65" t="str">
        <x:v>Bruno</x:v>
      </x:c>
      <x:c r="H32" s="74" t="n">
        <x:v>11148.22</x:v>
      </x:c>
      <x:c r="I32" s="74" t="n">
        <x:v>319.82</x:v>
      </x:c>
      <x:c r="J32" s="74" t="n">
        <x:v>6933.68</x:v>
      </x:c>
      <x:c r="K32" s="74" t="n">
        <x:v>10828.4</x:v>
      </x:c>
      <x:c r="L32" s="74" t="n">
        <x:v>3894.7199999999993</x:v>
      </x:c>
    </x:row>
    <x:row r="33">
      <x:c r="A33" s="65" t="str">
        <x:v>TX-1035</x:v>
      </x:c>
      <x:c r="B33" s="65" t="str">
        <x:v>2025-07-14</x:v>
      </x:c>
      <x:c r="C33" s="65" t="str">
        <x:v>Operacoes</x:v>
      </x:c>
      <x:c r="D33" s="65" t="str">
        <x:v>Direto</x:v>
      </x:c>
      <x:c r="E33" s="65" t="str">
        <x:v>Centro-Oeste</x:v>
      </x:c>
      <x:c r="F33" s="65" t="str">
        <x:v>Beta Logistica</x:v>
      </x:c>
      <x:c r="G33" s="65" t="str">
        <x:v>Diego</x:v>
      </x:c>
      <x:c r="H33" s="74" t="n">
        <x:v>12504.33</x:v>
      </x:c>
      <x:c r="I33" s="74" t="n">
        <x:v>247.88</x:v>
      </x:c>
      <x:c r="J33" s="74" t="n">
        <x:v>8387.02</x:v>
      </x:c>
      <x:c r="K33" s="74" t="n">
        <x:v>12256.45</x:v>
      </x:c>
      <x:c r="L33" s="74" t="n">
        <x:v>3869.4300000000003</x:v>
      </x:c>
    </x:row>
    <x:row r="34">
      <x:c r="A34" s="65" t="str">
        <x:v>TX-1008</x:v>
      </x:c>
      <x:c r="B34" s="65" t="str">
        <x:v>2025-07-14</x:v>
      </x:c>
      <x:c r="C34" s="65" t="str">
        <x:v>Operacoes</x:v>
      </x:c>
      <x:c r="D34" s="65" t="str">
        <x:v>Parceiros</x:v>
      </x:c>
      <x:c r="E34" s="65" t="str">
        <x:v>Nordeste</x:v>
      </x:c>
      <x:c r="F34" s="65" t="str">
        <x:v>Evo Saude</x:v>
      </x:c>
      <x:c r="G34" s="65" t="str">
        <x:v>Ana</x:v>
      </x:c>
      <x:c r="H34" s="74" t="n">
        <x:v>19023.9</x:v>
      </x:c>
      <x:c r="I34" s="74" t="n">
        <x:v>1129.29</x:v>
      </x:c>
      <x:c r="J34" s="74" t="n">
        <x:v>12490.29</x:v>
      </x:c>
      <x:c r="K34" s="74" t="n">
        <x:v>17894.61</x:v>
      </x:c>
      <x:c r="L34" s="74" t="n">
        <x:v>5404.32</x:v>
      </x:c>
    </x:row>
    <x:row r="35">
      <x:c r="A35" s="65" t="str">
        <x:v>TX-1040</x:v>
      </x:c>
      <x:c r="B35" s="65" t="str">
        <x:v>2025-07-15</x:v>
      </x:c>
      <x:c r="C35" s="65" t="str">
        <x:v>Operacoes</x:v>
      </x:c>
      <x:c r="D35" s="65" t="str">
        <x:v>Direto</x:v>
      </x:c>
      <x:c r="E35" s="65" t="str">
        <x:v>Sudeste</x:v>
      </x:c>
      <x:c r="F35" s="65" t="str">
        <x:v>Crescer Educacao</x:v>
      </x:c>
      <x:c r="G35" s="65" t="str">
        <x:v>Diego</x:v>
      </x:c>
      <x:c r="H35" s="74" t="n">
        <x:v>12874.94</x:v>
      </x:c>
      <x:c r="I35" s="74" t="n">
        <x:v>258.41</x:v>
      </x:c>
      <x:c r="J35" s="74" t="n">
        <x:v>8460.22</x:v>
      </x:c>
      <x:c r="K35" s="74" t="n">
        <x:v>12616.53</x:v>
      </x:c>
      <x:c r="L35" s="74" t="n">
        <x:v>4156.310000000001</x:v>
      </x:c>
    </x:row>
    <x:row r="36">
      <x:c r="A36" s="65" t="str">
        <x:v>TX-1020</x:v>
      </x:c>
      <x:c r="B36" s="65" t="str">
        <x:v>2025-07-16</x:v>
      </x:c>
      <x:c r="C36" s="65" t="str">
        <x:v>Comercial</x:v>
      </x:c>
      <x:c r="D36" s="65" t="str">
        <x:v>Parceiros</x:v>
      </x:c>
      <x:c r="E36" s="65" t="str">
        <x:v>Sul</x:v>
      </x:c>
      <x:c r="F36" s="65" t="str">
        <x:v>Alfa Industria</x:v>
      </x:c>
      <x:c r="G36" s="65" t="str">
        <x:v>Ana</x:v>
      </x:c>
      <x:c r="H36" s="74" t="n">
        <x:v>17479.01</x:v>
      </x:c>
      <x:c r="I36" s="74" t="n">
        <x:v>885.74</x:v>
      </x:c>
      <x:c r="J36" s="74" t="n">
        <x:v>9863.32</x:v>
      </x:c>
      <x:c r="K36" s="74" t="n">
        <x:v>16593.269999999997</x:v>
      </x:c>
      <x:c r="L36" s="74" t="n">
        <x:v>6729.949999999997</x:v>
      </x:c>
    </x:row>
    <x:row r="37">
      <x:c r="A37" s="65" t="str">
        <x:v>TX-1003</x:v>
      </x:c>
      <x:c r="B37" s="65" t="str">
        <x:v>2025-07-16</x:v>
      </x:c>
      <x:c r="C37" s="65" t="str">
        <x:v>Operacoes</x:v>
      </x:c>
      <x:c r="D37" s="65" t="str">
        <x:v>Digital</x:v>
      </x:c>
      <x:c r="E37" s="65" t="str">
        <x:v>Centro-Oeste</x:v>
      </x:c>
      <x:c r="F37" s="65" t="str">
        <x:v>Gama Servicos</x:v>
      </x:c>
      <x:c r="G37" s="65" t="str">
        <x:v>Bruno</x:v>
      </x:c>
      <x:c r="H37" s="74" t="n">
        <x:v>14037.47</x:v>
      </x:c>
      <x:c r="I37" s="74" t="n">
        <x:v>1094.2</x:v>
      </x:c>
      <x:c r="J37" s="74" t="n">
        <x:v>8980.86</x:v>
      </x:c>
      <x:c r="K37" s="74" t="n">
        <x:v>12943.269999999999</x:v>
      </x:c>
      <x:c r="L37" s="74" t="n">
        <x:v>3962.409999999998</x:v>
      </x:c>
    </x:row>
    <x:row r="38">
      <x:c r="A38" s="65" t="str">
        <x:v>TX-1051</x:v>
      </x:c>
      <x:c r="B38" s="65" t="str">
        <x:v>2025-07-18</x:v>
      </x:c>
      <x:c r="C38" s="65" t="str">
        <x:v>Marketing</x:v>
      </x:c>
      <x:c r="D38" s="65" t="str">
        <x:v>Parceiros</x:v>
      </x:c>
      <x:c r="E38" s="65" t="str">
        <x:v>Nordeste</x:v>
      </x:c>
      <x:c r="F38" s="65" t="str">
        <x:v>Evo Saude</x:v>
      </x:c>
      <x:c r="G38" s="65" t="str">
        <x:v>Ana</x:v>
      </x:c>
      <x:c r="H38" s="74" t="n">
        <x:v>13917.51</x:v>
      </x:c>
      <x:c r="I38" s="74" t="n">
        <x:v>737.72</x:v>
      </x:c>
      <x:c r="J38" s="74" t="n">
        <x:v>9373.84</x:v>
      </x:c>
      <x:c r="K38" s="74" t="n">
        <x:v>13179.79</x:v>
      </x:c>
      <x:c r="L38" s="74" t="n">
        <x:v>3805.9500000000007</x:v>
      </x:c>
    </x:row>
    <x:row r="39">
      <x:c r="A39" s="65" t="str">
        <x:v>TX-1033</x:v>
      </x:c>
      <x:c r="B39" s="65" t="str">
        <x:v>2025-07-18</x:v>
      </x:c>
      <x:c r="C39" s="65" t="str">
        <x:v>Operacoes</x:v>
      </x:c>
      <x:c r="D39" s="65" t="str">
        <x:v>Direto</x:v>
      </x:c>
      <x:c r="E39" s="65" t="str">
        <x:v>Sul</x:v>
      </x:c>
      <x:c r="F39" s="65" t="str">
        <x:v>Horizonte Tech</x:v>
      </x:c>
      <x:c r="G39" s="65" t="str">
        <x:v>Bruno</x:v>
      </x:c>
      <x:c r="H39" s="74" t="n">
        <x:v>16741.4</x:v>
      </x:c>
      <x:c r="I39" s="74" t="n">
        <x:v>312.44</x:v>
      </x:c>
      <x:c r="J39" s="74" t="n">
        <x:v>11135.34</x:v>
      </x:c>
      <x:c r="K39" s="74" t="n">
        <x:v>16428.960000000003</x:v>
      </x:c>
      <x:c r="L39" s="74" t="n">
        <x:v>5293.620000000003</x:v>
      </x:c>
    </x:row>
    <x:row r="40">
      <x:c r="A40" s="65" t="str">
        <x:v>TX-1014</x:v>
      </x:c>
      <x:c r="B40" s="65" t="str">
        <x:v>2025-07-18</x:v>
      </x:c>
      <x:c r="C40" s="65" t="str">
        <x:v>Operacoes</x:v>
      </x:c>
      <x:c r="D40" s="65" t="str">
        <x:v>Parceiros</x:v>
      </x:c>
      <x:c r="E40" s="65" t="str">
        <x:v>Nordeste</x:v>
      </x:c>
      <x:c r="F40" s="65" t="str">
        <x:v>Crescer Educacao</x:v>
      </x:c>
      <x:c r="G40" s="65" t="str">
        <x:v>Felipe</x:v>
      </x:c>
      <x:c r="H40" s="74" t="n">
        <x:v>19153.46</x:v>
      </x:c>
      <x:c r="I40" s="74" t="n">
        <x:v>702.39</x:v>
      </x:c>
      <x:c r="J40" s="74" t="n">
        <x:v>12926.5</x:v>
      </x:c>
      <x:c r="K40" s="74" t="n">
        <x:v>18451.07</x:v>
      </x:c>
      <x:c r="L40" s="74" t="n">
        <x:v>5524.57</x:v>
      </x:c>
    </x:row>
    <x:row r="41">
      <x:c r="A41" s="65" t="str">
        <x:v>TX-1042</x:v>
      </x:c>
      <x:c r="B41" s="65" t="str">
        <x:v>2025-07-19</x:v>
      </x:c>
      <x:c r="C41" s="65" t="str">
        <x:v>Operacoes</x:v>
      </x:c>
      <x:c r="D41" s="65" t="str">
        <x:v>Digital</x:v>
      </x:c>
      <x:c r="E41" s="65" t="str">
        <x:v>Centro-Oeste</x:v>
      </x:c>
      <x:c r="F41" s="65" t="str">
        <x:v>Gama Servicos</x:v>
      </x:c>
      <x:c r="G41" s="65" t="str">
        <x:v>Diego</x:v>
      </x:c>
      <x:c r="H41" s="74" t="n">
        <x:v>17215.63</x:v>
      </x:c>
      <x:c r="I41" s="74" t="n">
        <x:v>555.37</x:v>
      </x:c>
      <x:c r="J41" s="74" t="n">
        <x:v>11473.44</x:v>
      </x:c>
      <x:c r="K41" s="74" t="n">
        <x:v>16660.260000000002</x:v>
      </x:c>
      <x:c r="L41" s="74" t="n">
        <x:v>5186.8200000000015</x:v>
      </x:c>
    </x:row>
    <x:row r="42">
      <x:c r="A42" s="65" t="str">
        <x:v>TX-1029</x:v>
      </x:c>
      <x:c r="B42" s="65" t="str">
        <x:v>2025-07-19</x:v>
      </x:c>
      <x:c r="C42" s="65" t="str">
        <x:v>Comercial</x:v>
      </x:c>
      <x:c r="D42" s="65" t="str">
        <x:v>Direto</x:v>
      </x:c>
      <x:c r="E42" s="65" t="str">
        <x:v>Centro-Oeste</x:v>
      </x:c>
      <x:c r="F42" s="65" t="str">
        <x:v>Horizonte Tech</x:v>
      </x:c>
      <x:c r="G42" s="65" t="str">
        <x:v>Ana</x:v>
      </x:c>
      <x:c r="H42" s="74" t="n">
        <x:v>16347.02</x:v>
      </x:c>
      <x:c r="I42" s="74" t="n">
        <x:v>439.21</x:v>
      </x:c>
      <x:c r="J42" s="74" t="n">
        <x:v>8251.81</x:v>
      </x:c>
      <x:c r="K42" s="74" t="n">
        <x:v>15907.810000000001</x:v>
      </x:c>
      <x:c r="L42" s="74" t="n">
        <x:v>7656.000000000002</x:v>
      </x:c>
    </x:row>
    <x:row r="43">
      <x:c r="A43" s="65" t="str">
        <x:v>TX-1001</x:v>
      </x:c>
      <x:c r="B43" s="65" t="str">
        <x:v>2025-07-20</x:v>
      </x:c>
      <x:c r="C43" s="65" t="str">
        <x:v>Operacoes</x:v>
      </x:c>
      <x:c r="D43" s="65" t="str">
        <x:v>Direto</x:v>
      </x:c>
      <x:c r="E43" s="65" t="str">
        <x:v>Centro-Oeste</x:v>
      </x:c>
      <x:c r="F43" s="65" t="str">
        <x:v>Gama Servicos</x:v>
      </x:c>
      <x:c r="G43" s="65" t="str">
        <x:v>Diego</x:v>
      </x:c>
      <x:c r="H43" s="74" t="n">
        <x:v>16561.16</x:v>
      </x:c>
      <x:c r="I43" s="74" t="n">
        <x:v>687.74</x:v>
      </x:c>
      <x:c r="J43" s="74" t="n">
        <x:v>10603.68</x:v>
      </x:c>
      <x:c r="K43" s="74" t="n">
        <x:v>15873.42</x:v>
      </x:c>
      <x:c r="L43" s="74" t="n">
        <x:v>5269.74</x:v>
      </x:c>
    </x:row>
    <x:row r="44">
      <x:c r="A44" s="65" t="str">
        <x:v>TX-1053</x:v>
      </x:c>
      <x:c r="B44" s="65" t="str">
        <x:v>2025-07-20</x:v>
      </x:c>
      <x:c r="C44" s="65" t="str">
        <x:v>Marketing</x:v>
      </x:c>
      <x:c r="D44" s="65" t="str">
        <x:v>Parceiros</x:v>
      </x:c>
      <x:c r="E44" s="65" t="str">
        <x:v>Nordeste</x:v>
      </x:c>
      <x:c r="F44" s="65" t="str">
        <x:v>Beta Logistica</x:v>
      </x:c>
      <x:c r="G44" s="65" t="str">
        <x:v>Bruno</x:v>
      </x:c>
      <x:c r="H44" s="74" t="n">
        <x:v>13774.57</x:v>
      </x:c>
      <x:c r="I44" s="74" t="n">
        <x:v>706.71</x:v>
      </x:c>
      <x:c r="J44" s="74" t="n">
        <x:v>9758.8</x:v>
      </x:c>
      <x:c r="K44" s="74" t="n">
        <x:v>13067.86</x:v>
      </x:c>
      <x:c r="L44" s="74" t="n">
        <x:v>3309.0600000000013</x:v>
      </x:c>
    </x:row>
    <x:row r="45">
      <x:c r="A45" s="65" t="str">
        <x:v>TX-1007</x:v>
      </x:c>
      <x:c r="B45" s="65" t="str">
        <x:v>2025-07-21</x:v>
      </x:c>
      <x:c r="C45" s="65" t="str">
        <x:v>Tecnologia</x:v>
      </x:c>
      <x:c r="D45" s="65" t="str">
        <x:v>Digital</x:v>
      </x:c>
      <x:c r="E45" s="65" t="str">
        <x:v>Sudeste</x:v>
      </x:c>
      <x:c r="F45" s="65" t="str">
        <x:v>Gama Servicos</x:v>
      </x:c>
      <x:c r="G45" s="65" t="str">
        <x:v>Ana</x:v>
      </x:c>
      <x:c r="H45" s="74" t="n">
        <x:v>20081.02</x:v>
      </x:c>
      <x:c r="I45" s="74" t="n">
        <x:v>1160.17</x:v>
      </x:c>
      <x:c r="J45" s="74" t="n">
        <x:v>11625.16</x:v>
      </x:c>
      <x:c r="K45" s="74" t="n">
        <x:v>18920.85</x:v>
      </x:c>
      <x:c r="L45" s="74" t="n">
        <x:v>7295.689999999999</x:v>
      </x:c>
    </x:row>
    <x:row r="46">
      <x:c r="A46" s="65" t="str">
        <x:v>TX-1037</x:v>
      </x:c>
      <x:c r="B46" s="65" t="str">
        <x:v>2025-07-21</x:v>
      </x:c>
      <x:c r="C46" s="65" t="str">
        <x:v>Operacoes</x:v>
      </x:c>
      <x:c r="D46" s="65" t="str">
        <x:v>Digital</x:v>
      </x:c>
      <x:c r="E46" s="65" t="str">
        <x:v>Centro-Oeste</x:v>
      </x:c>
      <x:c r="F46" s="65" t="str">
        <x:v>Gama Servicos</x:v>
      </x:c>
      <x:c r="G46" s="65" t="str">
        <x:v>Diego</x:v>
      </x:c>
      <x:c r="H46" s="74" t="n">
        <x:v>8465.3</x:v>
      </x:c>
      <x:c r="I46" s="74" t="n">
        <x:v>399.17</x:v>
      </x:c>
      <x:c r="J46" s="74" t="n">
        <x:v>5779.87</x:v>
      </x:c>
      <x:c r="K46" s="74" t="n">
        <x:v>8066.129999999999</x:v>
      </x:c>
      <x:c r="L46" s="74" t="n">
        <x:v>2286.2599999999993</x:v>
      </x:c>
    </x:row>
    <x:row r="47">
      <x:c r="A47" s="65" t="str">
        <x:v>TX-1036</x:v>
      </x:c>
      <x:c r="B47" s="65" t="str">
        <x:v>2025-07-22</x:v>
      </x:c>
      <x:c r="C47" s="65" t="str">
        <x:v>Marketing</x:v>
      </x:c>
      <x:c r="D47" s="65" t="str">
        <x:v>Direto</x:v>
      </x:c>
      <x:c r="E47" s="65" t="str">
        <x:v>Nordeste</x:v>
      </x:c>
      <x:c r="F47" s="65" t="str">
        <x:v>Alfa Industria</x:v>
      </x:c>
      <x:c r="G47" s="65" t="str">
        <x:v>Bruno</x:v>
      </x:c>
      <x:c r="H47" s="74" t="n">
        <x:v>12557.94</x:v>
      </x:c>
      <x:c r="I47" s="74" t="n">
        <x:v>536.43</x:v>
      </x:c>
      <x:c r="J47" s="74" t="n">
        <x:v>8953.23</x:v>
      </x:c>
      <x:c r="K47" s="74" t="n">
        <x:v>12021.51</x:v>
      </x:c>
      <x:c r="L47" s="74" t="n">
        <x:v>3068.2800000000007</x:v>
      </x:c>
    </x:row>
    <x:row r="48">
      <x:c r="A48" s="65" t="str">
        <x:v>TX-1002</x:v>
      </x:c>
      <x:c r="B48" s="65" t="str">
        <x:v>2025-07-23</x:v>
      </x:c>
      <x:c r="C48" s="65" t="str">
        <x:v>Operacoes</x:v>
      </x:c>
      <x:c r="D48" s="65" t="str">
        <x:v>Direto</x:v>
      </x:c>
      <x:c r="E48" s="65" t="str">
        <x:v>Centro-Oeste</x:v>
      </x:c>
      <x:c r="F48" s="65" t="str">
        <x:v>Gama Servicos</x:v>
      </x:c>
      <x:c r="G48" s="65" t="str">
        <x:v>Bruno</x:v>
      </x:c>
      <x:c r="H48" s="74" t="n">
        <x:v>18401.54</x:v>
      </x:c>
      <x:c r="I48" s="74" t="n">
        <x:v>476.72</x:v>
      </x:c>
      <x:c r="J48" s="74" t="n">
        <x:v>12202.88</x:v>
      </x:c>
      <x:c r="K48" s="74" t="n">
        <x:v>17924.82</x:v>
      </x:c>
      <x:c r="L48" s="74" t="n">
        <x:v>5721.9400000000005</x:v>
      </x:c>
    </x:row>
    <x:row r="49">
      <x:c r="A49" s="65" t="str">
        <x:v>TX-1004</x:v>
      </x:c>
      <x:c r="B49" s="65" t="str">
        <x:v>2025-07-24</x:v>
      </x:c>
      <x:c r="C49" s="65" t="str">
        <x:v>Tecnologia</x:v>
      </x:c>
      <x:c r="D49" s="65" t="str">
        <x:v>Digital</x:v>
      </x:c>
      <x:c r="E49" s="65" t="str">
        <x:v>Sul</x:v>
      </x:c>
      <x:c r="F49" s="65" t="str">
        <x:v>Horizonte Tech</x:v>
      </x:c>
      <x:c r="G49" s="65" t="str">
        <x:v>Carla</x:v>
      </x:c>
      <x:c r="H49" s="74" t="n">
        <x:v>20638.69</x:v>
      </x:c>
      <x:c r="I49" s="74" t="n">
        <x:v>429.29</x:v>
      </x:c>
      <x:c r="J49" s="74" t="n">
        <x:v>12312.16</x:v>
      </x:c>
      <x:c r="K49" s="74" t="n">
        <x:v>20209.399999999998</x:v>
      </x:c>
      <x:c r="L49" s="74" t="n">
        <x:v>7897.239999999998</x:v>
      </x:c>
    </x:row>
    <x:row r="50">
      <x:c r="A50" s="65" t="str">
        <x:v>TX-1049</x:v>
      </x:c>
      <x:c r="B50" s="65" t="str">
        <x:v>2025-07-24</x:v>
      </x:c>
      <x:c r="C50" s="65" t="str">
        <x:v>Marketing</x:v>
      </x:c>
      <x:c r="D50" s="65" t="str">
        <x:v>Digital</x:v>
      </x:c>
      <x:c r="E50" s="65" t="str">
        <x:v>Centro-Oeste</x:v>
      </x:c>
      <x:c r="F50" s="65" t="str">
        <x:v>Delta Varejo</x:v>
      </x:c>
      <x:c r="G50" s="65" t="str">
        <x:v>Diego</x:v>
      </x:c>
      <x:c r="H50" s="74" t="n">
        <x:v>20232.78</x:v>
      </x:c>
      <x:c r="I50" s="74" t="n">
        <x:v>667.38</x:v>
      </x:c>
      <x:c r="J50" s="74" t="n">
        <x:v>14067.97</x:v>
      </x:c>
      <x:c r="K50" s="74" t="n">
        <x:v>19565.399999999998</x:v>
      </x:c>
      <x:c r="L50" s="74" t="n">
        <x:v>5497.4299999999985</x:v>
      </x:c>
    </x:row>
    <x:row r="51">
      <x:c r="A51" s="65" t="str">
        <x:v>TX-1021</x:v>
      </x:c>
      <x:c r="B51" s="65" t="str">
        <x:v>2025-07-24</x:v>
      </x:c>
      <x:c r="C51" s="65" t="str">
        <x:v>Tecnologia</x:v>
      </x:c>
      <x:c r="D51" s="65" t="str">
        <x:v>Digital</x:v>
      </x:c>
      <x:c r="E51" s="65" t="str">
        <x:v>Sul</x:v>
      </x:c>
      <x:c r="F51" s="65" t="str">
        <x:v>Delta Varejo</x:v>
      </x:c>
      <x:c r="G51" s="65" t="str">
        <x:v>Felipe</x:v>
      </x:c>
      <x:c r="H51" s="74" t="n">
        <x:v>20441.35</x:v>
      </x:c>
      <x:c r="I51" s="74" t="n">
        <x:v>322.79</x:v>
      </x:c>
      <x:c r="J51" s="74" t="n">
        <x:v>11469.22</x:v>
      </x:c>
      <x:c r="K51" s="74" t="n">
        <x:v>20118.559999999998</x:v>
      </x:c>
      <x:c r="L51" s="74" t="n">
        <x:v>8649.339999999998</x:v>
      </x:c>
    </x:row>
    <x:row r="52">
      <x:c r="A52" s="65" t="str">
        <x:v>TX-1026</x:v>
      </x:c>
      <x:c r="B52" s="65" t="str">
        <x:v>2025-07-25</x:v>
      </x:c>
      <x:c r="C52" s="65" t="str">
        <x:v>Marketing</x:v>
      </x:c>
      <x:c r="D52" s="65" t="str">
        <x:v>Digital</x:v>
      </x:c>
      <x:c r="E52" s="65" t="str">
        <x:v>Sudeste</x:v>
      </x:c>
      <x:c r="F52" s="65" t="str">
        <x:v>Beta Logistica</x:v>
      </x:c>
      <x:c r="G52" s="65" t="str">
        <x:v>Diego</x:v>
      </x:c>
      <x:c r="H52" s="74" t="n">
        <x:v>15112.81</x:v>
      </x:c>
      <x:c r="I52" s="74" t="n">
        <x:v>696.01</x:v>
      </x:c>
      <x:c r="J52" s="74" t="n">
        <x:v>10538.96</x:v>
      </x:c>
      <x:c r="K52" s="74" t="n">
        <x:v>14416.8</x:v>
      </x:c>
      <x:c r="L52" s="74" t="n">
        <x:v>3877.84</x:v>
      </x:c>
    </x:row>
    <x:row r="53">
      <x:c r="A53" s="65" t="str">
        <x:v>TX-1034</x:v>
      </x:c>
      <x:c r="B53" s="65" t="str">
        <x:v>2025-07-25</x:v>
      </x:c>
      <x:c r="C53" s="65" t="str">
        <x:v>Tecnologia</x:v>
      </x:c>
      <x:c r="D53" s="65" t="str">
        <x:v>Digital</x:v>
      </x:c>
      <x:c r="E53" s="65" t="str">
        <x:v>Sul</x:v>
      </x:c>
      <x:c r="F53" s="65" t="str">
        <x:v>Alfa Industria</x:v>
      </x:c>
      <x:c r="G53" s="65" t="str">
        <x:v>Diego</x:v>
      </x:c>
      <x:c r="H53" s="74" t="n">
        <x:v>21294.84</x:v>
      </x:c>
      <x:c r="I53" s="74" t="n">
        <x:v>1637.44</x:v>
      </x:c>
      <x:c r="J53" s="74" t="n">
        <x:v>12263.52</x:v>
      </x:c>
      <x:c r="K53" s="74" t="n">
        <x:v>19657.4</x:v>
      </x:c>
      <x:c r="L53" s="74" t="n">
        <x:v>7393.880000000001</x:v>
      </x:c>
    </x:row>
    <x:row r="54">
      <x:c r="A54" s="65" t="str">
        <x:v>TX-1031</x:v>
      </x:c>
      <x:c r="B54" s="65" t="str">
        <x:v>2025-07-25</x:v>
      </x:c>
      <x:c r="C54" s="65" t="str">
        <x:v>Tecnologia</x:v>
      </x:c>
      <x:c r="D54" s="65" t="str">
        <x:v>Direto</x:v>
      </x:c>
      <x:c r="E54" s="65" t="str">
        <x:v>Sudeste</x:v>
      </x:c>
      <x:c r="F54" s="65" t="str">
        <x:v>Alfa Industria</x:v>
      </x:c>
      <x:c r="G54" s="65" t="str">
        <x:v>Elisa</x:v>
      </x:c>
      <x:c r="H54" s="74" t="n">
        <x:v>18628.92</x:v>
      </x:c>
      <x:c r="I54" s="74" t="n">
        <x:v>204.46</x:v>
      </x:c>
      <x:c r="J54" s="74" t="n">
        <x:v>10774.86</x:v>
      </x:c>
      <x:c r="K54" s="74" t="n">
        <x:v>18424.46</x:v>
      </x:c>
      <x:c r="L54" s="74" t="n">
        <x:v>7649.5999999999985</x:v>
      </x:c>
    </x:row>
    <x:row r="55">
      <x:c r="A55" s="65" t="str">
        <x:v>TX-1046</x:v>
      </x:c>
      <x:c r="B55" s="65" t="str">
        <x:v>2025-07-25</x:v>
      </x:c>
      <x:c r="C55" s="65" t="str">
        <x:v>Operacoes</x:v>
      </x:c>
      <x:c r="D55" s="65" t="str">
        <x:v>Digital</x:v>
      </x:c>
      <x:c r="E55" s="65" t="str">
        <x:v>Centro-Oeste</x:v>
      </x:c>
      <x:c r="F55" s="65" t="str">
        <x:v>Delta Varejo</x:v>
      </x:c>
      <x:c r="G55" s="65" t="str">
        <x:v>Elisa</x:v>
      </x:c>
      <x:c r="H55" s="74" t="n">
        <x:v>16231.74</x:v>
      </x:c>
      <x:c r="I55" s="74" t="n">
        <x:v>771.41</x:v>
      </x:c>
      <x:c r="J55" s="74" t="n">
        <x:v>10608.66</x:v>
      </x:c>
      <x:c r="K55" s="74" t="n">
        <x:v>15460.33</x:v>
      </x:c>
      <x:c r="L55" s="74" t="n">
        <x:v>4851.67</x:v>
      </x:c>
    </x:row>
    <x:row r="56">
      <x:c r="A56" s="65" t="str">
        <x:v>TX-1062</x:v>
      </x:c>
      <x:c r="B56" s="65" t="str">
        <x:v>2025-08-02</x:v>
      </x:c>
      <x:c r="C56" s="65" t="str">
        <x:v>Marketing</x:v>
      </x:c>
      <x:c r="D56" s="65" t="str">
        <x:v>Direto</x:v>
      </x:c>
      <x:c r="E56" s="65" t="str">
        <x:v>Nordeste</x:v>
      </x:c>
      <x:c r="F56" s="65" t="str">
        <x:v>Horizonte Tech</x:v>
      </x:c>
      <x:c r="G56" s="65" t="str">
        <x:v>Ana</x:v>
      </x:c>
      <x:c r="H56" s="74" t="n">
        <x:v>14102.24</x:v>
      </x:c>
      <x:c r="I56" s="74" t="n">
        <x:v>421.28</x:v>
      </x:c>
      <x:c r="J56" s="74" t="n">
        <x:v>9829.98</x:v>
      </x:c>
      <x:c r="K56" s="74" t="n">
        <x:v>13680.96</x:v>
      </x:c>
      <x:c r="L56" s="74" t="n">
        <x:v>3850.9799999999996</x:v>
      </x:c>
    </x:row>
    <x:row r="57">
      <x:c r="A57" s="65" t="str">
        <x:v>TX-1065</x:v>
      </x:c>
      <x:c r="B57" s="65" t="str">
        <x:v>2025-08-02</x:v>
      </x:c>
      <x:c r="C57" s="65" t="str">
        <x:v>Operacoes</x:v>
      </x:c>
      <x:c r="D57" s="65" t="str">
        <x:v>Direto</x:v>
      </x:c>
      <x:c r="E57" s="65" t="str">
        <x:v>Sudeste</x:v>
      </x:c>
      <x:c r="F57" s="65" t="str">
        <x:v>Foco Energia</x:v>
      </x:c>
      <x:c r="G57" s="65" t="str">
        <x:v>Elisa</x:v>
      </x:c>
      <x:c r="H57" s="74" t="n">
        <x:v>11997.66</x:v>
      </x:c>
      <x:c r="I57" s="74" t="n">
        <x:v>320.32</x:v>
      </x:c>
      <x:c r="J57" s="74" t="n">
        <x:v>8738.63</x:v>
      </x:c>
      <x:c r="K57" s="74" t="n">
        <x:v>11677.34</x:v>
      </x:c>
      <x:c r="L57" s="74" t="n">
        <x:v>2938.710000000001</x:v>
      </x:c>
    </x:row>
    <x:row r="58">
      <x:c r="A58" s="65" t="str">
        <x:v>TX-1060</x:v>
      </x:c>
      <x:c r="B58" s="65" t="str">
        <x:v>2025-08-03</x:v>
      </x:c>
      <x:c r="C58" s="65" t="str">
        <x:v>Comercial</x:v>
      </x:c>
      <x:c r="D58" s="65" t="str">
        <x:v>Parceiros</x:v>
      </x:c>
      <x:c r="E58" s="65" t="str">
        <x:v>Nordeste</x:v>
      </x:c>
      <x:c r="F58" s="65" t="str">
        <x:v>Gama Servicos</x:v>
      </x:c>
      <x:c r="G58" s="65" t="str">
        <x:v>Carla</x:v>
      </x:c>
      <x:c r="H58" s="74" t="n">
        <x:v>27474.17</x:v>
      </x:c>
      <x:c r="I58" s="74" t="n">
        <x:v>1594.24</x:v>
      </x:c>
      <x:c r="J58" s="74" t="n">
        <x:v>14422.96</x:v>
      </x:c>
      <x:c r="K58" s="74" t="n">
        <x:v>25879.929999999997</x:v>
      </x:c>
      <x:c r="L58" s="74" t="n">
        <x:v>11456.969999999998</x:v>
      </x:c>
    </x:row>
    <x:row r="59">
      <x:c r="A59" s="65" t="str">
        <x:v>TX-1103</x:v>
      </x:c>
      <x:c r="B59" s="65" t="str">
        <x:v>2025-08-04</x:v>
      </x:c>
      <x:c r="C59" s="65" t="str">
        <x:v>Tecnologia</x:v>
      </x:c>
      <x:c r="D59" s="65" t="str">
        <x:v>Direto</x:v>
      </x:c>
      <x:c r="E59" s="65" t="str">
        <x:v>Sul</x:v>
      </x:c>
      <x:c r="F59" s="65" t="str">
        <x:v>Crescer Educacao</x:v>
      </x:c>
      <x:c r="G59" s="65" t="str">
        <x:v>Ana</x:v>
      </x:c>
      <x:c r="H59" s="74" t="n">
        <x:v>13019.95</x:v>
      </x:c>
      <x:c r="I59" s="74" t="n">
        <x:v>487.8</x:v>
      </x:c>
      <x:c r="J59" s="74" t="n">
        <x:v>7892.27</x:v>
      </x:c>
      <x:c r="K59" s="74" t="n">
        <x:v>12532.150000000001</x:v>
      </x:c>
      <x:c r="L59" s="74" t="n">
        <x:v>4639.880000000001</x:v>
      </x:c>
    </x:row>
    <x:row r="60">
      <x:c r="A60" s="65" t="str">
        <x:v>TX-1095</x:v>
      </x:c>
      <x:c r="B60" s="65" t="str">
        <x:v>2025-08-04</x:v>
      </x:c>
      <x:c r="C60" s="65" t="str">
        <x:v>Comercial</x:v>
      </x:c>
      <x:c r="D60" s="65" t="str">
        <x:v>Digital</x:v>
      </x:c>
      <x:c r="E60" s="65" t="str">
        <x:v>Sul</x:v>
      </x:c>
      <x:c r="F60" s="65" t="str">
        <x:v>Crescer Educacao</x:v>
      </x:c>
      <x:c r="G60" s="65" t="str">
        <x:v>Felipe</x:v>
      </x:c>
      <x:c r="H60" s="74" t="n">
        <x:v>19768.29</x:v>
      </x:c>
      <x:c r="I60" s="74" t="n">
        <x:v>875.32</x:v>
      </x:c>
      <x:c r="J60" s="74" t="n">
        <x:v>10196.25</x:v>
      </x:c>
      <x:c r="K60" s="74" t="n">
        <x:v>18892.97</x:v>
      </x:c>
      <x:c r="L60" s="74" t="n">
        <x:v>8696.720000000001</x:v>
      </x:c>
    </x:row>
    <x:row r="61">
      <x:c r="A61" s="65" t="str">
        <x:v>TX-1067</x:v>
      </x:c>
      <x:c r="B61" s="65" t="str">
        <x:v>2025-08-04</x:v>
      </x:c>
      <x:c r="C61" s="65" t="str">
        <x:v>Tecnologia</x:v>
      </x:c>
      <x:c r="D61" s="65" t="str">
        <x:v>Parceiros</x:v>
      </x:c>
      <x:c r="E61" s="65" t="str">
        <x:v>Sudeste</x:v>
      </x:c>
      <x:c r="F61" s="65" t="str">
        <x:v>Gama Servicos</x:v>
      </x:c>
      <x:c r="G61" s="65" t="str">
        <x:v>Elisa</x:v>
      </x:c>
      <x:c r="H61" s="74" t="n">
        <x:v>24740.13</x:v>
      </x:c>
      <x:c r="I61" s="74" t="n">
        <x:v>1338.46</x:v>
      </x:c>
      <x:c r="J61" s="74" t="n">
        <x:v>14998.95</x:v>
      </x:c>
      <x:c r="K61" s="74" t="n">
        <x:v>23401.670000000002</x:v>
      </x:c>
      <x:c r="L61" s="74" t="n">
        <x:v>8402.720000000001</x:v>
      </x:c>
    </x:row>
    <x:row r="62">
      <x:c r="A62" s="65" t="str">
        <x:v>TX-1057</x:v>
      </x:c>
      <x:c r="B62" s="65" t="str">
        <x:v>2025-08-07</x:v>
      </x:c>
      <x:c r="C62" s="65" t="str">
        <x:v>Tecnologia</x:v>
      </x:c>
      <x:c r="D62" s="65" t="str">
        <x:v>Direto</x:v>
      </x:c>
      <x:c r="E62" s="65" t="str">
        <x:v>Centro-Oeste</x:v>
      </x:c>
      <x:c r="F62" s="65" t="str">
        <x:v>Evo Saude</x:v>
      </x:c>
      <x:c r="G62" s="65" t="str">
        <x:v>Carla</x:v>
      </x:c>
      <x:c r="H62" s="74" t="n">
        <x:v>19035.89</x:v>
      </x:c>
      <x:c r="I62" s="74" t="n">
        <x:v>400.38</x:v>
      </x:c>
      <x:c r="J62" s="74" t="n">
        <x:v>11375.4</x:v>
      </x:c>
      <x:c r="K62" s="74" t="n">
        <x:v>18635.51</x:v>
      </x:c>
      <x:c r="L62" s="74" t="n">
        <x:v>7260.109999999999</x:v>
      </x:c>
    </x:row>
    <x:row r="63">
      <x:c r="A63" s="65" t="str">
        <x:v>TX-1104</x:v>
      </x:c>
      <x:c r="B63" s="65" t="str">
        <x:v>2025-08-08</x:v>
      </x:c>
      <x:c r="C63" s="65" t="str">
        <x:v>Tecnologia</x:v>
      </x:c>
      <x:c r="D63" s="65" t="str">
        <x:v>Parceiros</x:v>
      </x:c>
      <x:c r="E63" s="65" t="str">
        <x:v>Centro-Oeste</x:v>
      </x:c>
      <x:c r="F63" s="65" t="str">
        <x:v>Foco Energia</x:v>
      </x:c>
      <x:c r="G63" s="65" t="str">
        <x:v>Felipe</x:v>
      </x:c>
      <x:c r="H63" s="74" t="n">
        <x:v>15402.29</x:v>
      </x:c>
      <x:c r="I63" s="74" t="n">
        <x:v>371.79</x:v>
      </x:c>
      <x:c r="J63" s="74" t="n">
        <x:v>9198.89</x:v>
      </x:c>
      <x:c r="K63" s="74" t="n">
        <x:v>15030.5</x:v>
      </x:c>
      <x:c r="L63" s="74" t="n">
        <x:v>5831.610000000001</x:v>
      </x:c>
    </x:row>
    <x:row r="64">
      <x:c r="A64" s="65" t="str">
        <x:v>TX-1101</x:v>
      </x:c>
      <x:c r="B64" s="65" t="str">
        <x:v>2025-08-08</x:v>
      </x:c>
      <x:c r="C64" s="65" t="str">
        <x:v>Tecnologia</x:v>
      </x:c>
      <x:c r="D64" s="65" t="str">
        <x:v>Digital</x:v>
      </x:c>
      <x:c r="E64" s="65" t="str">
        <x:v>Sudeste</x:v>
      </x:c>
      <x:c r="F64" s="65" t="str">
        <x:v>Foco Energia</x:v>
      </x:c>
      <x:c r="G64" s="65" t="str">
        <x:v>Ana</x:v>
      </x:c>
      <x:c r="H64" s="74" t="n">
        <x:v>18416.66</x:v>
      </x:c>
      <x:c r="I64" s="74" t="n">
        <x:v>538.46</x:v>
      </x:c>
      <x:c r="J64" s="74" t="n">
        <x:v>11169.37</x:v>
      </x:c>
      <x:c r="K64" s="74" t="n">
        <x:v>17878.2</x:v>
      </x:c>
      <x:c r="L64" s="74" t="n">
        <x:v>6708.83</x:v>
      </x:c>
    </x:row>
    <x:row r="65">
      <x:c r="A65" s="65" t="str">
        <x:v>TX-1091</x:v>
      </x:c>
      <x:c r="B65" s="65" t="str">
        <x:v>2025-08-08</x:v>
      </x:c>
      <x:c r="C65" s="65" t="str">
        <x:v>Tecnologia</x:v>
      </x:c>
      <x:c r="D65" s="65" t="str">
        <x:v>Parceiros</x:v>
      </x:c>
      <x:c r="E65" s="65" t="str">
        <x:v>Nordeste</x:v>
      </x:c>
      <x:c r="F65" s="65" t="str">
        <x:v>Foco Energia</x:v>
      </x:c>
      <x:c r="G65" s="65" t="str">
        <x:v>Felipe</x:v>
      </x:c>
      <x:c r="H65" s="74" t="n">
        <x:v>19338.18</x:v>
      </x:c>
      <x:c r="I65" s="74" t="n">
        <x:v>569.73</x:v>
      </x:c>
      <x:c r="J65" s="74" t="n">
        <x:v>12058.59</x:v>
      </x:c>
      <x:c r="K65" s="74" t="n">
        <x:v>18768.45</x:v>
      </x:c>
      <x:c r="L65" s="74" t="n">
        <x:v>6709.860000000001</x:v>
      </x:c>
    </x:row>
    <x:row r="66">
      <x:c r="A66" s="65" t="str">
        <x:v>TX-1088</x:v>
      </x:c>
      <x:c r="B66" s="65" t="str">
        <x:v>2025-08-08</x:v>
      </x:c>
      <x:c r="C66" s="65" t="str">
        <x:v>Operacoes</x:v>
      </x:c>
      <x:c r="D66" s="65" t="str">
        <x:v>Parceiros</x:v>
      </x:c>
      <x:c r="E66" s="65" t="str">
        <x:v>Sudeste</x:v>
      </x:c>
      <x:c r="F66" s="65" t="str">
        <x:v>Gama Servicos</x:v>
      </x:c>
      <x:c r="G66" s="65" t="str">
        <x:v>Carla</x:v>
      </x:c>
      <x:c r="H66" s="74" t="n">
        <x:v>24657.53</x:v>
      </x:c>
      <x:c r="I66" s="74" t="n">
        <x:v>1117.86</x:v>
      </x:c>
      <x:c r="J66" s="74" t="n">
        <x:v>16423.09</x:v>
      </x:c>
      <x:c r="K66" s="74" t="n">
        <x:v>23539.67</x:v>
      </x:c>
      <x:c r="L66" s="74" t="n">
        <x:v>7116.579999999998</x:v>
      </x:c>
    </x:row>
    <x:row r="67">
      <x:c r="A67" s="65" t="str">
        <x:v>TX-1073</x:v>
      </x:c>
      <x:c r="B67" s="65" t="str">
        <x:v>2025-08-08</x:v>
      </x:c>
      <x:c r="C67" s="65" t="str">
        <x:v>Tecnologia</x:v>
      </x:c>
      <x:c r="D67" s="65" t="str">
        <x:v>Direto</x:v>
      </x:c>
      <x:c r="E67" s="65" t="str">
        <x:v>Sul</x:v>
      </x:c>
      <x:c r="F67" s="65" t="str">
        <x:v>Gama Servicos</x:v>
      </x:c>
      <x:c r="G67" s="65" t="str">
        <x:v>Bruno</x:v>
      </x:c>
      <x:c r="H67" s="74" t="n">
        <x:v>20862.17</x:v>
      </x:c>
      <x:c r="I67" s="74" t="n">
        <x:v>1135.4</x:v>
      </x:c>
      <x:c r="J67" s="74" t="n">
        <x:v>12075.79</x:v>
      </x:c>
      <x:c r="K67" s="74" t="n">
        <x:v>19726.769999999997</x:v>
      </x:c>
      <x:c r="L67" s="74" t="n">
        <x:v>7650.979999999996</x:v>
      </x:c>
    </x:row>
    <x:row r="68">
      <x:c r="A68" s="65" t="str">
        <x:v>TX-1061</x:v>
      </x:c>
      <x:c r="B68" s="65" t="str">
        <x:v>2025-08-08</x:v>
      </x:c>
      <x:c r="C68" s="65" t="str">
        <x:v>Tecnologia</x:v>
      </x:c>
      <x:c r="D68" s="65" t="str">
        <x:v>Digital</x:v>
      </x:c>
      <x:c r="E68" s="65" t="str">
        <x:v>Centro-Oeste</x:v>
      </x:c>
      <x:c r="F68" s="65" t="str">
        <x:v>Evo Saude</x:v>
      </x:c>
      <x:c r="G68" s="65" t="str">
        <x:v>Ana</x:v>
      </x:c>
      <x:c r="H68" s="74" t="n">
        <x:v>16578.78</x:v>
      </x:c>
      <x:c r="I68" s="74" t="n">
        <x:v>516.18</x:v>
      </x:c>
      <x:c r="J68" s="74" t="n">
        <x:v>9748.32</x:v>
      </x:c>
      <x:c r="K68" s="74" t="n">
        <x:v>16062.599999999999</x:v>
      </x:c>
      <x:c r="L68" s="74" t="n">
        <x:v>6314.279999999999</x:v>
      </x:c>
    </x:row>
    <x:row r="69">
      <x:c r="A69" s="65" t="str">
        <x:v>TX-1079</x:v>
      </x:c>
      <x:c r="B69" s="65" t="str">
        <x:v>2025-08-09</x:v>
      </x:c>
      <x:c r="C69" s="65" t="str">
        <x:v>Comercial</x:v>
      </x:c>
      <x:c r="D69" s="65" t="str">
        <x:v>Parceiros</x:v>
      </x:c>
      <x:c r="E69" s="65" t="str">
        <x:v>Centro-Oeste</x:v>
      </x:c>
      <x:c r="F69" s="65" t="str">
        <x:v>Foco Energia</x:v>
      </x:c>
      <x:c r="G69" s="65" t="str">
        <x:v>Felipe</x:v>
      </x:c>
      <x:c r="H69" s="74" t="n">
        <x:v>24933.08</x:v>
      </x:c>
      <x:c r="I69" s="74" t="n">
        <x:v>1545.56</x:v>
      </x:c>
      <x:c r="J69" s="74" t="n">
        <x:v>13293.24</x:v>
      </x:c>
      <x:c r="K69" s="74" t="n">
        <x:v>23387.52</x:v>
      </x:c>
      <x:c r="L69" s="74" t="n">
        <x:v>10094.28</x:v>
      </x:c>
    </x:row>
    <x:row r="70">
      <x:c r="A70" s="65" t="str">
        <x:v>TX-1105</x:v>
      </x:c>
      <x:c r="B70" s="65" t="str">
        <x:v>2025-08-09</x:v>
      </x:c>
      <x:c r="C70" s="65" t="str">
        <x:v>Tecnologia</x:v>
      </x:c>
      <x:c r="D70" s="65" t="str">
        <x:v>Digital</x:v>
      </x:c>
      <x:c r="E70" s="65" t="str">
        <x:v>Sul</x:v>
      </x:c>
      <x:c r="F70" s="65" t="str">
        <x:v>Crescer Educacao</x:v>
      </x:c>
      <x:c r="G70" s="65" t="str">
        <x:v>Felipe</x:v>
      </x:c>
      <x:c r="H70" s="74" t="n">
        <x:v>13167.04</x:v>
      </x:c>
      <x:c r="I70" s="74" t="n">
        <x:v>824.75</x:v>
      </x:c>
      <x:c r="J70" s="74" t="n">
        <x:v>7930.67</x:v>
      </x:c>
      <x:c r="K70" s="74" t="n">
        <x:v>12342.29</x:v>
      </x:c>
      <x:c r="L70" s="74" t="n">
        <x:v>4411.620000000001</x:v>
      </x:c>
    </x:row>
    <x:row r="71">
      <x:c r="A71" s="65" t="str">
        <x:v>TX-1089</x:v>
      </x:c>
      <x:c r="B71" s="65" t="str">
        <x:v>2025-08-09</x:v>
      </x:c>
      <x:c r="C71" s="65" t="str">
        <x:v>Tecnologia</x:v>
      </x:c>
      <x:c r="D71" s="65" t="str">
        <x:v>Digital</x:v>
      </x:c>
      <x:c r="E71" s="65" t="str">
        <x:v>Centro-Oeste</x:v>
      </x:c>
      <x:c r="F71" s="65" t="str">
        <x:v>Foco Energia</x:v>
      </x:c>
      <x:c r="G71" s="65" t="str">
        <x:v>Diego</x:v>
      </x:c>
      <x:c r="H71" s="74" t="n">
        <x:v>17644.17</x:v>
      </x:c>
      <x:c r="I71" s="74" t="n">
        <x:v>306.1</x:v>
      </x:c>
      <x:c r="J71" s="74" t="n">
        <x:v>10780.24</x:v>
      </x:c>
      <x:c r="K71" s="74" t="n">
        <x:v>17338.07</x:v>
      </x:c>
      <x:c r="L71" s="74" t="n">
        <x:v>6557.83</x:v>
      </x:c>
    </x:row>
    <x:row r="72">
      <x:c r="A72" s="65" t="str">
        <x:v>TX-1098</x:v>
      </x:c>
      <x:c r="B72" s="65" t="str">
        <x:v>2025-08-10</x:v>
      </x:c>
      <x:c r="C72" s="65" t="str">
        <x:v>Operacoes</x:v>
      </x:c>
      <x:c r="D72" s="65" t="str">
        <x:v>Direto</x:v>
      </x:c>
      <x:c r="E72" s="65" t="str">
        <x:v>Centro-Oeste</x:v>
      </x:c>
      <x:c r="F72" s="65" t="str">
        <x:v>Beta Logistica</x:v>
      </x:c>
      <x:c r="G72" s="65" t="str">
        <x:v>Ana</x:v>
      </x:c>
      <x:c r="H72" s="74" t="n">
        <x:v>13859.17</x:v>
      </x:c>
      <x:c r="I72" s="74" t="n">
        <x:v>855.95</x:v>
      </x:c>
      <x:c r="J72" s="74" t="n">
        <x:v>8740.17</x:v>
      </x:c>
      <x:c r="K72" s="74" t="n">
        <x:v>13003.22</x:v>
      </x:c>
      <x:c r="L72" s="74" t="n">
        <x:v>4263.049999999999</x:v>
      </x:c>
    </x:row>
    <x:row r="73">
      <x:c r="A73" s="65" t="str">
        <x:v>TX-1058</x:v>
      </x:c>
      <x:c r="B73" s="65" t="str">
        <x:v>2025-08-10</x:v>
      </x:c>
      <x:c r="C73" s="65" t="str">
        <x:v>Tecnologia</x:v>
      </x:c>
      <x:c r="D73" s="65" t="str">
        <x:v>Digital</x:v>
      </x:c>
      <x:c r="E73" s="65" t="str">
        <x:v>Nordeste</x:v>
      </x:c>
      <x:c r="F73" s="65" t="str">
        <x:v>Delta Varejo</x:v>
      </x:c>
      <x:c r="G73" s="65" t="str">
        <x:v>Ana</x:v>
      </x:c>
      <x:c r="H73" s="74" t="n">
        <x:v>25226.03</x:v>
      </x:c>
      <x:c r="I73" s="74" t="n">
        <x:v>1228.75</x:v>
      </x:c>
      <x:c r="J73" s="74" t="n">
        <x:v>15371.61</x:v>
      </x:c>
      <x:c r="K73" s="74" t="n">
        <x:v>23997.28</x:v>
      </x:c>
      <x:c r="L73" s="74" t="n">
        <x:v>8625.669999999998</x:v>
      </x:c>
    </x:row>
    <x:row r="74">
      <x:c r="A74" s="65" t="str">
        <x:v>TX-1059</x:v>
      </x:c>
      <x:c r="B74" s="65" t="str">
        <x:v>2025-08-10</x:v>
      </x:c>
      <x:c r="C74" s="65" t="str">
        <x:v>Marketing</x:v>
      </x:c>
      <x:c r="D74" s="65" t="str">
        <x:v>Direto</x:v>
      </x:c>
      <x:c r="E74" s="65" t="str">
        <x:v>Centro-Oeste</x:v>
      </x:c>
      <x:c r="F74" s="65" t="str">
        <x:v>Horizonte Tech</x:v>
      </x:c>
      <x:c r="G74" s="65" t="str">
        <x:v>Diego</x:v>
      </x:c>
      <x:c r="H74" s="74" t="n">
        <x:v>17151.52</x:v>
      </x:c>
      <x:c r="I74" s="74" t="n">
        <x:v>1313.53</x:v>
      </x:c>
      <x:c r="J74" s="74" t="n">
        <x:v>11342.33</x:v>
      </x:c>
      <x:c r="K74" s="74" t="n">
        <x:v>15837.99</x:v>
      </x:c>
      <x:c r="L74" s="74" t="n">
        <x:v>4495.66</x:v>
      </x:c>
    </x:row>
    <x:row r="75">
      <x:c r="A75" s="65" t="str">
        <x:v>TX-1066</x:v>
      </x:c>
      <x:c r="B75" s="65" t="str">
        <x:v>2025-08-12</x:v>
      </x:c>
      <x:c r="C75" s="65" t="str">
        <x:v>Marketing</x:v>
      </x:c>
      <x:c r="D75" s="65" t="str">
        <x:v>Direto</x:v>
      </x:c>
      <x:c r="E75" s="65" t="str">
        <x:v>Sul</x:v>
      </x:c>
      <x:c r="F75" s="65" t="str">
        <x:v>Beta Logistica</x:v>
      </x:c>
      <x:c r="G75" s="65" t="str">
        <x:v>Ana</x:v>
      </x:c>
      <x:c r="H75" s="74" t="n">
        <x:v>14647.3</x:v>
      </x:c>
      <x:c r="I75" s="74" t="n">
        <x:v>862.26</x:v>
      </x:c>
      <x:c r="J75" s="74" t="n">
        <x:v>9605.52</x:v>
      </x:c>
      <x:c r="K75" s="74" t="n">
        <x:v>13785.039999999999</x:v>
      </x:c>
      <x:c r="L75" s="74" t="n">
        <x:v>4179.519999999999</x:v>
      </x:c>
    </x:row>
    <x:row r="76">
      <x:c r="A76" s="65" t="str">
        <x:v>TX-1074</x:v>
      </x:c>
      <x:c r="B76" s="65" t="str">
        <x:v>2025-08-12</x:v>
      </x:c>
      <x:c r="C76" s="65" t="str">
        <x:v>Tecnologia</x:v>
      </x:c>
      <x:c r="D76" s="65" t="str">
        <x:v>Parceiros</x:v>
      </x:c>
      <x:c r="E76" s="65" t="str">
        <x:v>Sudeste</x:v>
      </x:c>
      <x:c r="F76" s="65" t="str">
        <x:v>Beta Logistica</x:v>
      </x:c>
      <x:c r="G76" s="65" t="str">
        <x:v>Ana</x:v>
      </x:c>
      <x:c r="H76" s="74" t="n">
        <x:v>15350.44</x:v>
      </x:c>
      <x:c r="I76" s="74" t="n">
        <x:v>192.25</x:v>
      </x:c>
      <x:c r="J76" s="74" t="n">
        <x:v>9509.18</x:v>
      </x:c>
      <x:c r="K76" s="74" t="n">
        <x:v>15158.19</x:v>
      </x:c>
      <x:c r="L76" s="74" t="n">
        <x:v>5649.01</x:v>
      </x:c>
    </x:row>
    <x:row r="77">
      <x:c r="A77" s="65" t="str">
        <x:v>TX-1080</x:v>
      </x:c>
      <x:c r="B77" s="65" t="str">
        <x:v>2025-08-13</x:v>
      </x:c>
      <x:c r="C77" s="65" t="str">
        <x:v>Tecnologia</x:v>
      </x:c>
      <x:c r="D77" s="65" t="str">
        <x:v>Parceiros</x:v>
      </x:c>
      <x:c r="E77" s="65" t="str">
        <x:v>Nordeste</x:v>
      </x:c>
      <x:c r="F77" s="65" t="str">
        <x:v>Horizonte Tech</x:v>
      </x:c>
      <x:c r="G77" s="65" t="str">
        <x:v>Ana</x:v>
      </x:c>
      <x:c r="H77" s="74" t="n">
        <x:v>22998.2</x:v>
      </x:c>
      <x:c r="I77" s="74" t="n">
        <x:v>1197.26</x:v>
      </x:c>
      <x:c r="J77" s="74" t="n">
        <x:v>14335.48</x:v>
      </x:c>
      <x:c r="K77" s="74" t="n">
        <x:v>21800.940000000002</x:v>
      </x:c>
      <x:c r="L77" s="74" t="n">
        <x:v>7465.460000000003</x:v>
      </x:c>
    </x:row>
    <x:row r="78">
      <x:c r="A78" s="65" t="str">
        <x:v>TX-1055</x:v>
      </x:c>
      <x:c r="B78" s="65" t="str">
        <x:v>2025-08-13</x:v>
      </x:c>
      <x:c r="C78" s="65" t="str">
        <x:v>Tecnologia</x:v>
      </x:c>
      <x:c r="D78" s="65" t="str">
        <x:v>Digital</x:v>
      </x:c>
      <x:c r="E78" s="65" t="str">
        <x:v>Sudeste</x:v>
      </x:c>
      <x:c r="F78" s="65" t="str">
        <x:v>Delta Varejo</x:v>
      </x:c>
      <x:c r="G78" s="65" t="str">
        <x:v>Diego</x:v>
      </x:c>
      <x:c r="H78" s="74" t="n">
        <x:v>17350.31</x:v>
      </x:c>
      <x:c r="I78" s="74" t="n">
        <x:v>318.92</x:v>
      </x:c>
      <x:c r="J78" s="74" t="n">
        <x:v>11232.88</x:v>
      </x:c>
      <x:c r="K78" s="74" t="n">
        <x:v>17031.390000000003</x:v>
      </x:c>
      <x:c r="L78" s="74" t="n">
        <x:v>5798.510000000004</x:v>
      </x:c>
    </x:row>
    <x:row r="79">
      <x:c r="A79" s="65" t="str">
        <x:v>TX-1092</x:v>
      </x:c>
      <x:c r="B79" s="65" t="str">
        <x:v>2025-08-13</x:v>
      </x:c>
      <x:c r="C79" s="65" t="str">
        <x:v>Operacoes</x:v>
      </x:c>
      <x:c r="D79" s="65" t="str">
        <x:v>Digital</x:v>
      </x:c>
      <x:c r="E79" s="65" t="str">
        <x:v>Sul</x:v>
      </x:c>
      <x:c r="F79" s="65" t="str">
        <x:v>Horizonte Tech</x:v>
      </x:c>
      <x:c r="G79" s="65" t="str">
        <x:v>Diego</x:v>
      </x:c>
      <x:c r="H79" s="74" t="n">
        <x:v>21666.46</x:v>
      </x:c>
      <x:c r="I79" s="74" t="n">
        <x:v>1371.49</x:v>
      </x:c>
      <x:c r="J79" s="74" t="n">
        <x:v>13819.12</x:v>
      </x:c>
      <x:c r="K79" s="74" t="n">
        <x:v>20294.969999999998</x:v>
      </x:c>
      <x:c r="L79" s="74" t="n">
        <x:v>6475.849999999997</x:v>
      </x:c>
    </x:row>
    <x:row r="80">
      <x:c r="A80" s="65" t="str">
        <x:v>TX-1096</x:v>
      </x:c>
      <x:c r="B80" s="65" t="str">
        <x:v>2025-08-14</x:v>
      </x:c>
      <x:c r="C80" s="65" t="str">
        <x:v>Tecnologia</x:v>
      </x:c>
      <x:c r="D80" s="65" t="str">
        <x:v>Digital</x:v>
      </x:c>
      <x:c r="E80" s="65" t="str">
        <x:v>Sul</x:v>
      </x:c>
      <x:c r="F80" s="65" t="str">
        <x:v>Horizonte Tech</x:v>
      </x:c>
      <x:c r="G80" s="65" t="str">
        <x:v>Carla</x:v>
      </x:c>
      <x:c r="H80" s="74" t="n">
        <x:v>17401.85</x:v>
      </x:c>
      <x:c r="I80" s="74" t="n">
        <x:v>277.34</x:v>
      </x:c>
      <x:c r="J80" s="74" t="n">
        <x:v>10885.87</x:v>
      </x:c>
      <x:c r="K80" s="74" t="n">
        <x:v>17124.51</x:v>
      </x:c>
      <x:c r="L80" s="74" t="n">
        <x:v>6238.639999999998</x:v>
      </x:c>
    </x:row>
    <x:row r="81">
      <x:c r="A81" s="65" t="str">
        <x:v>TX-1100</x:v>
      </x:c>
      <x:c r="B81" s="65" t="str">
        <x:v>2025-08-14</x:v>
      </x:c>
      <x:c r="C81" s="65" t="str">
        <x:v>Marketing</x:v>
      </x:c>
      <x:c r="D81" s="65" t="str">
        <x:v>Parceiros</x:v>
      </x:c>
      <x:c r="E81" s="65" t="str">
        <x:v>Centro-Oeste</x:v>
      </x:c>
      <x:c r="F81" s="65" t="str">
        <x:v>Gama Servicos</x:v>
      </x:c>
      <x:c r="G81" s="65" t="str">
        <x:v>Felipe</x:v>
      </x:c>
      <x:c r="H81" s="74" t="n">
        <x:v>19073.74</x:v>
      </x:c>
      <x:c r="I81" s="74" t="n">
        <x:v>508.05</x:v>
      </x:c>
      <x:c r="J81" s="74" t="n">
        <x:v>14672.83</x:v>
      </x:c>
      <x:c r="K81" s="74" t="n">
        <x:v>18565.690000000002</x:v>
      </x:c>
      <x:c r="L81" s="74" t="n">
        <x:v>3892.8600000000024</x:v>
      </x:c>
    </x:row>
    <x:row r="82">
      <x:c r="A82" s="65" t="str">
        <x:v>TX-1086</x:v>
      </x:c>
      <x:c r="B82" s="65" t="str">
        <x:v>2025-08-14</x:v>
      </x:c>
      <x:c r="C82" s="65" t="str">
        <x:v>Comercial</x:v>
      </x:c>
      <x:c r="D82" s="65" t="str">
        <x:v>Parceiros</x:v>
      </x:c>
      <x:c r="E82" s="65" t="str">
        <x:v>Sul</x:v>
      </x:c>
      <x:c r="F82" s="65" t="str">
        <x:v>Foco Energia</x:v>
      </x:c>
      <x:c r="G82" s="65" t="str">
        <x:v>Elisa</x:v>
      </x:c>
      <x:c r="H82" s="74" t="n">
        <x:v>14969.42</x:v>
      </x:c>
      <x:c r="I82" s="74" t="n">
        <x:v>1033.66</x:v>
      </x:c>
      <x:c r="J82" s="74" t="n">
        <x:v>7717.74</x:v>
      </x:c>
      <x:c r="K82" s="74" t="n">
        <x:v>13935.76</x:v>
      </x:c>
      <x:c r="L82" s="74" t="n">
        <x:v>6218.02</x:v>
      </x:c>
    </x:row>
    <x:row r="83">
      <x:c r="A83" s="65" t="str">
        <x:v>TX-1075</x:v>
      </x:c>
      <x:c r="B83" s="65" t="str">
        <x:v>2025-08-15</x:v>
      </x:c>
      <x:c r="C83" s="65" t="str">
        <x:v>Tecnologia</x:v>
      </x:c>
      <x:c r="D83" s="65" t="str">
        <x:v>Parceiros</x:v>
      </x:c>
      <x:c r="E83" s="65" t="str">
        <x:v>Sul</x:v>
      </x:c>
      <x:c r="F83" s="65" t="str">
        <x:v>Beta Logistica</x:v>
      </x:c>
      <x:c r="G83" s="65" t="str">
        <x:v>Elisa</x:v>
      </x:c>
      <x:c r="H83" s="74" t="n">
        <x:v>18049.6</x:v>
      </x:c>
      <x:c r="I83" s="74" t="n">
        <x:v>999.16</x:v>
      </x:c>
      <x:c r="J83" s="74" t="n">
        <x:v>10492.28</x:v>
      </x:c>
      <x:c r="K83" s="74" t="n">
        <x:v>17050.44</x:v>
      </x:c>
      <x:c r="L83" s="74" t="n">
        <x:v>6558.159999999998</x:v>
      </x:c>
    </x:row>
    <x:row r="84">
      <x:c r="A84" s="65" t="str">
        <x:v>TX-1069</x:v>
      </x:c>
      <x:c r="B84" s="65" t="str">
        <x:v>2025-08-16</x:v>
      </x:c>
      <x:c r="C84" s="65" t="str">
        <x:v>Comercial</x:v>
      </x:c>
      <x:c r="D84" s="65" t="str">
        <x:v>Parceiros</x:v>
      </x:c>
      <x:c r="E84" s="65" t="str">
        <x:v>Sudeste</x:v>
      </x:c>
      <x:c r="F84" s="65" t="str">
        <x:v>Gama Servicos</x:v>
      </x:c>
      <x:c r="G84" s="65" t="str">
        <x:v>Bruno</x:v>
      </x:c>
      <x:c r="H84" s="74" t="n">
        <x:v>20879.87</x:v>
      </x:c>
      <x:c r="I84" s="74" t="n">
        <x:v>1245.91</x:v>
      </x:c>
      <x:c r="J84" s="74" t="n">
        <x:v>10539.36</x:v>
      </x:c>
      <x:c r="K84" s="74" t="n">
        <x:v>19633.96</x:v>
      </x:c>
      <x:c r="L84" s="74" t="n">
        <x:v>9094.599999999999</x:v>
      </x:c>
    </x:row>
    <x:row r="85">
      <x:c r="A85" s="65" t="str">
        <x:v>TX-1090</x:v>
      </x:c>
      <x:c r="B85" s="65" t="str">
        <x:v>2025-08-16</x:v>
      </x:c>
      <x:c r="C85" s="65" t="str">
        <x:v>Comercial</x:v>
      </x:c>
      <x:c r="D85" s="65" t="str">
        <x:v>Digital</x:v>
      </x:c>
      <x:c r="E85" s="65" t="str">
        <x:v>Nordeste</x:v>
      </x:c>
      <x:c r="F85" s="65" t="str">
        <x:v>Delta Varejo</x:v>
      </x:c>
      <x:c r="G85" s="65" t="str">
        <x:v>Carla</x:v>
      </x:c>
      <x:c r="H85" s="74" t="n">
        <x:v>24798.7</x:v>
      </x:c>
      <x:c r="I85" s="74" t="n">
        <x:v>580.59</x:v>
      </x:c>
      <x:c r="J85" s="74" t="n">
        <x:v>13658.8</x:v>
      </x:c>
      <x:c r="K85" s="74" t="n">
        <x:v>24218.11</x:v>
      </x:c>
      <x:c r="L85" s="74" t="n">
        <x:v>10559.310000000001</x:v>
      </x:c>
    </x:row>
    <x:row r="86">
      <x:c r="A86" s="65" t="str">
        <x:v>TX-1102</x:v>
      </x:c>
      <x:c r="B86" s="65" t="str">
        <x:v>2025-08-16</x:v>
      </x:c>
      <x:c r="C86" s="65" t="str">
        <x:v>Tecnologia</x:v>
      </x:c>
      <x:c r="D86" s="65" t="str">
        <x:v>Direto</x:v>
      </x:c>
      <x:c r="E86" s="65" t="str">
        <x:v>Centro-Oeste</x:v>
      </x:c>
      <x:c r="F86" s="65" t="str">
        <x:v>Delta Varejo</x:v>
      </x:c>
      <x:c r="G86" s="65" t="str">
        <x:v>Diego</x:v>
      </x:c>
      <x:c r="H86" s="74" t="n">
        <x:v>13917.76</x:v>
      </x:c>
      <x:c r="I86" s="74" t="n">
        <x:v>925.81</x:v>
      </x:c>
      <x:c r="J86" s="74" t="n">
        <x:v>7388.3</x:v>
      </x:c>
      <x:c r="K86" s="74" t="n">
        <x:v>12991.95</x:v>
      </x:c>
      <x:c r="L86" s="74" t="n">
        <x:v>5603.650000000001</x:v>
      </x:c>
    </x:row>
    <x:row r="87">
      <x:c r="A87" s="65" t="str">
        <x:v>TX-1099</x:v>
      </x:c>
      <x:c r="B87" s="65" t="str">
        <x:v>2025-08-16</x:v>
      </x:c>
      <x:c r="C87" s="65" t="str">
        <x:v>Marketing</x:v>
      </x:c>
      <x:c r="D87" s="65" t="str">
        <x:v>Parceiros</x:v>
      </x:c>
      <x:c r="E87" s="65" t="str">
        <x:v>Sudeste</x:v>
      </x:c>
      <x:c r="F87" s="65" t="str">
        <x:v>Gama Servicos</x:v>
      </x:c>
      <x:c r="G87" s="65" t="str">
        <x:v>Carla</x:v>
      </x:c>
      <x:c r="H87" s="74" t="n">
        <x:v>14017.71</x:v>
      </x:c>
      <x:c r="I87" s="74" t="n">
        <x:v>645.15</x:v>
      </x:c>
      <x:c r="J87" s="74" t="n">
        <x:v>9969.13</x:v>
      </x:c>
      <x:c r="K87" s="74" t="n">
        <x:v>13372.56</x:v>
      </x:c>
      <x:c r="L87" s="74" t="n">
        <x:v>3403.4300000000003</x:v>
      </x:c>
    </x:row>
    <x:row r="88">
      <x:c r="A88" s="65" t="str">
        <x:v>TX-1107</x:v>
      </x:c>
      <x:c r="B88" s="65" t="str">
        <x:v>2025-08-17</x:v>
      </x:c>
      <x:c r="C88" s="65" t="str">
        <x:v>Comercial</x:v>
      </x:c>
      <x:c r="D88" s="65" t="str">
        <x:v>Parceiros</x:v>
      </x:c>
      <x:c r="E88" s="65" t="str">
        <x:v>Centro-Oeste</x:v>
      </x:c>
      <x:c r="F88" s="65" t="str">
        <x:v>Alfa Industria</x:v>
      </x:c>
      <x:c r="G88" s="65" t="str">
        <x:v>Bruno</x:v>
      </x:c>
      <x:c r="H88" s="74" t="n">
        <x:v>16374.05</x:v>
      </x:c>
      <x:c r="I88" s="74" t="n">
        <x:v>533.38</x:v>
      </x:c>
      <x:c r="J88" s="74" t="n">
        <x:v>8732.43</x:v>
      </x:c>
      <x:c r="K88" s="74" t="n">
        <x:v>15840.67</x:v>
      </x:c>
      <x:c r="L88" s="74" t="n">
        <x:v>7108.24</x:v>
      </x:c>
    </x:row>
    <x:row r="89">
      <x:c r="A89" s="65" t="str">
        <x:v>TX-1063</x:v>
      </x:c>
      <x:c r="B89" s="65" t="str">
        <x:v>2025-08-17</x:v>
      </x:c>
      <x:c r="C89" s="65" t="str">
        <x:v>Operacoes</x:v>
      </x:c>
      <x:c r="D89" s="65" t="str">
        <x:v>Direto</x:v>
      </x:c>
      <x:c r="E89" s="65" t="str">
        <x:v>Sudeste</x:v>
      </x:c>
      <x:c r="F89" s="65" t="str">
        <x:v>Delta Varejo</x:v>
      </x:c>
      <x:c r="G89" s="65" t="str">
        <x:v>Ana</x:v>
      </x:c>
      <x:c r="H89" s="74" t="n">
        <x:v>19812.76</x:v>
      </x:c>
      <x:c r="I89" s="74" t="n">
        <x:v>1442.22</x:v>
      </x:c>
      <x:c r="J89" s="74" t="n">
        <x:v>12432.23</x:v>
      </x:c>
      <x:c r="K89" s="74" t="n">
        <x:v>18370.539999999997</x:v>
      </x:c>
      <x:c r="L89" s="74" t="n">
        <x:v>5938.309999999998</x:v>
      </x:c>
    </x:row>
    <x:row r="90">
      <x:c r="A90" s="65" t="str">
        <x:v>TX-1082</x:v>
      </x:c>
      <x:c r="B90" s="65" t="str">
        <x:v>2025-08-18</x:v>
      </x:c>
      <x:c r="C90" s="65" t="str">
        <x:v>Comercial</x:v>
      </x:c>
      <x:c r="D90" s="65" t="str">
        <x:v>Direto</x:v>
      </x:c>
      <x:c r="E90" s="65" t="str">
        <x:v>Sul</x:v>
      </x:c>
      <x:c r="F90" s="65" t="str">
        <x:v>Gama Servicos</x:v>
      </x:c>
      <x:c r="G90" s="65" t="str">
        <x:v>Felipe</x:v>
      </x:c>
      <x:c r="H90" s="74" t="n">
        <x:v>24383.06</x:v>
      </x:c>
      <x:c r="I90" s="74" t="n">
        <x:v>1140.06</x:v>
      </x:c>
      <x:c r="J90" s="74" t="n">
        <x:v>12627.73</x:v>
      </x:c>
      <x:c r="K90" s="74" t="n">
        <x:v>23243</x:v>
      </x:c>
      <x:c r="L90" s="74" t="n">
        <x:v>10615.27</x:v>
      </x:c>
    </x:row>
    <x:row r="91">
      <x:c r="A91" s="65" t="str">
        <x:v>TX-1054</x:v>
      </x:c>
      <x:c r="B91" s="65" t="str">
        <x:v>2025-08-19</x:v>
      </x:c>
      <x:c r="C91" s="65" t="str">
        <x:v>Tecnologia</x:v>
      </x:c>
      <x:c r="D91" s="65" t="str">
        <x:v>Digital</x:v>
      </x:c>
      <x:c r="E91" s="65" t="str">
        <x:v>Centro-Oeste</x:v>
      </x:c>
      <x:c r="F91" s="65" t="str">
        <x:v>Gama Servicos</x:v>
      </x:c>
      <x:c r="G91" s="65" t="str">
        <x:v>Diego</x:v>
      </x:c>
      <x:c r="H91" s="74" t="n">
        <x:v>21909.79</x:v>
      </x:c>
      <x:c r="I91" s="74" t="n">
        <x:v>933.77</x:v>
      </x:c>
      <x:c r="J91" s="74" t="n">
        <x:v>12845.52</x:v>
      </x:c>
      <x:c r="K91" s="74" t="n">
        <x:v>20976.02</x:v>
      </x:c>
      <x:c r="L91" s="74" t="n">
        <x:v>8130.5</x:v>
      </x:c>
    </x:row>
    <x:row r="92">
      <x:c r="A92" s="65" t="str">
        <x:v>TX-1068</x:v>
      </x:c>
      <x:c r="B92" s="65" t="str">
        <x:v>2025-08-19</x:v>
      </x:c>
      <x:c r="C92" s="65" t="str">
        <x:v>Comercial</x:v>
      </x:c>
      <x:c r="D92" s="65" t="str">
        <x:v>Parceiros</x:v>
      </x:c>
      <x:c r="E92" s="65" t="str">
        <x:v>Nordeste</x:v>
      </x:c>
      <x:c r="F92" s="65" t="str">
        <x:v>Alfa Industria</x:v>
      </x:c>
      <x:c r="G92" s="65" t="str">
        <x:v>Ana</x:v>
      </x:c>
      <x:c r="H92" s="74" t="n">
        <x:v>20017.54</x:v>
      </x:c>
      <x:c r="I92" s="74" t="n">
        <x:v>1194.91</x:v>
      </x:c>
      <x:c r="J92" s="74" t="n">
        <x:v>9730.94</x:v>
      </x:c>
      <x:c r="K92" s="74" t="n">
        <x:v>18822.63</x:v>
      </x:c>
      <x:c r="L92" s="74" t="n">
        <x:v>9091.69</x:v>
      </x:c>
    </x:row>
    <x:row r="93">
      <x:c r="A93" s="65" t="str">
        <x:v>TX-1056</x:v>
      </x:c>
      <x:c r="B93" s="65" t="str">
        <x:v>2025-08-19</x:v>
      </x:c>
      <x:c r="C93" s="65" t="str">
        <x:v>Tecnologia</x:v>
      </x:c>
      <x:c r="D93" s="65" t="str">
        <x:v>Digital</x:v>
      </x:c>
      <x:c r="E93" s="65" t="str">
        <x:v>Centro-Oeste</x:v>
      </x:c>
      <x:c r="F93" s="65" t="str">
        <x:v>Gama Servicos</x:v>
      </x:c>
      <x:c r="G93" s="65" t="str">
        <x:v>Diego</x:v>
      </x:c>
      <x:c r="H93" s="74" t="n">
        <x:v>17426.91</x:v>
      </x:c>
      <x:c r="I93" s="74" t="n">
        <x:v>993.09</x:v>
      </x:c>
      <x:c r="J93" s="74" t="n">
        <x:v>9749.99</x:v>
      </x:c>
      <x:c r="K93" s="74" t="n">
        <x:v>16433.82</x:v>
      </x:c>
      <x:c r="L93" s="74" t="n">
        <x:v>6683.83</x:v>
      </x:c>
    </x:row>
    <x:row r="94">
      <x:c r="A94" s="65" t="str">
        <x:v>TX-1093</x:v>
      </x:c>
      <x:c r="B94" s="65" t="str">
        <x:v>2025-08-20</x:v>
      </x:c>
      <x:c r="C94" s="65" t="str">
        <x:v>Marketing</x:v>
      </x:c>
      <x:c r="D94" s="65" t="str">
        <x:v>Parceiros</x:v>
      </x:c>
      <x:c r="E94" s="65" t="str">
        <x:v>Nordeste</x:v>
      </x:c>
      <x:c r="F94" s="65" t="str">
        <x:v>Horizonte Tech</x:v>
      </x:c>
      <x:c r="G94" s="65" t="str">
        <x:v>Diego</x:v>
      </x:c>
      <x:c r="H94" s="74" t="n">
        <x:v>16610.41</x:v>
      </x:c>
      <x:c r="I94" s="74" t="n">
        <x:v>1017.7</x:v>
      </x:c>
      <x:c r="J94" s="74" t="n">
        <x:v>11841.34</x:v>
      </x:c>
      <x:c r="K94" s="74" t="n">
        <x:v>15592.71</x:v>
      </x:c>
      <x:c r="L94" s="74" t="n">
        <x:v>3751.369999999999</x:v>
      </x:c>
    </x:row>
    <x:row r="95">
      <x:c r="A95" s="65" t="str">
        <x:v>TX-1087</x:v>
      </x:c>
      <x:c r="B95" s="65" t="str">
        <x:v>2025-08-20</x:v>
      </x:c>
      <x:c r="C95" s="65" t="str">
        <x:v>Comercial</x:v>
      </x:c>
      <x:c r="D95" s="65" t="str">
        <x:v>Digital</x:v>
      </x:c>
      <x:c r="E95" s="65" t="str">
        <x:v>Centro-Oeste</x:v>
      </x:c>
      <x:c r="F95" s="65" t="str">
        <x:v>Crescer Educacao</x:v>
      </x:c>
      <x:c r="G95" s="65" t="str">
        <x:v>Carla</x:v>
      </x:c>
      <x:c r="H95" s="74" t="n">
        <x:v>17545.56</x:v>
      </x:c>
      <x:c r="I95" s="74" t="n">
        <x:v>838.1</x:v>
      </x:c>
      <x:c r="J95" s="74" t="n">
        <x:v>9079.39</x:v>
      </x:c>
      <x:c r="K95" s="74" t="n">
        <x:v>16707.460000000003</x:v>
      </x:c>
      <x:c r="L95" s="74" t="n">
        <x:v>7628.070000000003</x:v>
      </x:c>
    </x:row>
    <x:row r="96">
      <x:c r="A96" s="65" t="str">
        <x:v>TX-1097</x:v>
      </x:c>
      <x:c r="B96" s="65" t="str">
        <x:v>2025-08-21</x:v>
      </x:c>
      <x:c r="C96" s="65" t="str">
        <x:v>Comercial</x:v>
      </x:c>
      <x:c r="D96" s="65" t="str">
        <x:v>Digital</x:v>
      </x:c>
      <x:c r="E96" s="65" t="str">
        <x:v>Nordeste</x:v>
      </x:c>
      <x:c r="F96" s="65" t="str">
        <x:v>Gama Servicos</x:v>
      </x:c>
      <x:c r="G96" s="65" t="str">
        <x:v>Elisa</x:v>
      </x:c>
      <x:c r="H96" s="74" t="n">
        <x:v>14972.73</x:v>
      </x:c>
      <x:c r="I96" s="74" t="n">
        <x:v>200.77</x:v>
      </x:c>
      <x:c r="J96" s="74" t="n">
        <x:v>8654.27</x:v>
      </x:c>
      <x:c r="K96" s="74" t="n">
        <x:v>14771.96</x:v>
      </x:c>
      <x:c r="L96" s="74" t="n">
        <x:v>6117.689999999999</x:v>
      </x:c>
    </x:row>
    <x:row r="97">
      <x:c r="A97" s="65" t="str">
        <x:v>TX-1078</x:v>
      </x:c>
      <x:c r="B97" s="65" t="str">
        <x:v>2025-08-21</x:v>
      </x:c>
      <x:c r="C97" s="65" t="str">
        <x:v>Tecnologia</x:v>
      </x:c>
      <x:c r="D97" s="65" t="str">
        <x:v>Direto</x:v>
      </x:c>
      <x:c r="E97" s="65" t="str">
        <x:v>Sudeste</x:v>
      </x:c>
      <x:c r="F97" s="65" t="str">
        <x:v>Crescer Educacao</x:v>
      </x:c>
      <x:c r="G97" s="65" t="str">
        <x:v>Diego</x:v>
      </x:c>
      <x:c r="H97" s="74" t="n">
        <x:v>21923.95</x:v>
      </x:c>
      <x:c r="I97" s="74" t="n">
        <x:v>329.83</x:v>
      </x:c>
      <x:c r="J97" s="74" t="n">
        <x:v>12802.46</x:v>
      </x:c>
      <x:c r="K97" s="74" t="n">
        <x:v>21594.12</x:v>
      </x:c>
      <x:c r="L97" s="74" t="n">
        <x:v>8791.66</x:v>
      </x:c>
    </x:row>
    <x:row r="98">
      <x:c r="A98" s="65" t="str">
        <x:v>TX-1070</x:v>
      </x:c>
      <x:c r="B98" s="65" t="str">
        <x:v>2025-08-22</x:v>
      </x:c>
      <x:c r="C98" s="65" t="str">
        <x:v>Marketing</x:v>
      </x:c>
      <x:c r="D98" s="65" t="str">
        <x:v>Parceiros</x:v>
      </x:c>
      <x:c r="E98" s="65" t="str">
        <x:v>Sul</x:v>
      </x:c>
      <x:c r="F98" s="65" t="str">
        <x:v>Beta Logistica</x:v>
      </x:c>
      <x:c r="G98" s="65" t="str">
        <x:v>Bruno</x:v>
      </x:c>
      <x:c r="H98" s="74" t="n">
        <x:v>11409.42</x:v>
      </x:c>
      <x:c r="I98" s="74" t="n">
        <x:v>740.31</x:v>
      </x:c>
      <x:c r="J98" s="74" t="n">
        <x:v>7838.93</x:v>
      </x:c>
      <x:c r="K98" s="74" t="n">
        <x:v>10669.11</x:v>
      </x:c>
      <x:c r="L98" s="74" t="n">
        <x:v>2830.1800000000003</x:v>
      </x:c>
    </x:row>
    <x:row r="99">
      <x:c r="A99" s="65" t="str">
        <x:v>TX-1084</x:v>
      </x:c>
      <x:c r="B99" s="65" t="str">
        <x:v>2025-08-23</x:v>
      </x:c>
      <x:c r="C99" s="65" t="str">
        <x:v>Comercial</x:v>
      </x:c>
      <x:c r="D99" s="65" t="str">
        <x:v>Direto</x:v>
      </x:c>
      <x:c r="E99" s="65" t="str">
        <x:v>Sul</x:v>
      </x:c>
      <x:c r="F99" s="65" t="str">
        <x:v>Beta Logistica</x:v>
      </x:c>
      <x:c r="G99" s="65" t="str">
        <x:v>Bruno</x:v>
      </x:c>
      <x:c r="H99" s="74" t="n">
        <x:v>21877.65</x:v>
      </x:c>
      <x:c r="I99" s="74" t="n">
        <x:v>883.08</x:v>
      </x:c>
      <x:c r="J99" s="74" t="n">
        <x:v>10935.69</x:v>
      </x:c>
      <x:c r="K99" s="74" t="n">
        <x:v>20994.57</x:v>
      </x:c>
      <x:c r="L99" s="74" t="n">
        <x:v>10058.88</x:v>
      </x:c>
    </x:row>
    <x:row r="100">
      <x:c r="A100" s="65" t="str">
        <x:v>TX-1064</x:v>
      </x:c>
      <x:c r="B100" s="65" t="str">
        <x:v>2025-08-23</x:v>
      </x:c>
      <x:c r="C100" s="65" t="str">
        <x:v>Operacoes</x:v>
      </x:c>
      <x:c r="D100" s="65" t="str">
        <x:v>Direto</x:v>
      </x:c>
      <x:c r="E100" s="65" t="str">
        <x:v>Sudeste</x:v>
      </x:c>
      <x:c r="F100" s="65" t="str">
        <x:v>Alfa Industria</x:v>
      </x:c>
      <x:c r="G100" s="65" t="str">
        <x:v>Ana</x:v>
      </x:c>
      <x:c r="H100" s="74" t="n">
        <x:v>20042.26</x:v>
      </x:c>
      <x:c r="I100" s="74" t="n">
        <x:v>1478.01</x:v>
      </x:c>
      <x:c r="J100" s="74" t="n">
        <x:v>12567.46</x:v>
      </x:c>
      <x:c r="K100" s="74" t="n">
        <x:v>18564.25</x:v>
      </x:c>
      <x:c r="L100" s="74" t="n">
        <x:v>5996.790000000001</x:v>
      </x:c>
    </x:row>
    <x:row r="101">
      <x:c r="A101" s="65" t="str">
        <x:v>TX-1077</x:v>
      </x:c>
      <x:c r="B101" s="65" t="str">
        <x:v>2025-08-23</x:v>
      </x:c>
      <x:c r="C101" s="65" t="str">
        <x:v>Marketing</x:v>
      </x:c>
      <x:c r="D101" s="65" t="str">
        <x:v>Direto</x:v>
      </x:c>
      <x:c r="E101" s="65" t="str">
        <x:v>Sul</x:v>
      </x:c>
      <x:c r="F101" s="65" t="str">
        <x:v>Evo Saude</x:v>
      </x:c>
      <x:c r="G101" s="65" t="str">
        <x:v>Felipe</x:v>
      </x:c>
      <x:c r="H101" s="74" t="n">
        <x:v>13679.92</x:v>
      </x:c>
      <x:c r="I101" s="74" t="n">
        <x:v>635.01</x:v>
      </x:c>
      <x:c r="J101" s="74" t="n">
        <x:v>9776.99</x:v>
      </x:c>
      <x:c r="K101" s="74" t="n">
        <x:v>13044.91</x:v>
      </x:c>
      <x:c r="L101" s="74" t="n">
        <x:v>3267.92</x:v>
      </x:c>
    </x:row>
    <x:row r="102">
      <x:c r="A102" s="65" t="str">
        <x:v>TX-1085</x:v>
      </x:c>
      <x:c r="B102" s="65" t="str">
        <x:v>2025-08-23</x:v>
      </x:c>
      <x:c r="C102" s="65" t="str">
        <x:v>Comercial</x:v>
      </x:c>
      <x:c r="D102" s="65" t="str">
        <x:v>Digital</x:v>
      </x:c>
      <x:c r="E102" s="65" t="str">
        <x:v>Nordeste</x:v>
      </x:c>
      <x:c r="F102" s="65" t="str">
        <x:v>Foco Energia</x:v>
      </x:c>
      <x:c r="G102" s="65" t="str">
        <x:v>Carla</x:v>
      </x:c>
      <x:c r="H102" s="74" t="n">
        <x:v>15428.12</x:v>
      </x:c>
      <x:c r="I102" s="74" t="n">
        <x:v>469.7</x:v>
      </x:c>
      <x:c r="J102" s="74" t="n">
        <x:v>8578.19</x:v>
      </x:c>
      <x:c r="K102" s="74" t="n">
        <x:v>14958.42</x:v>
      </x:c>
      <x:c r="L102" s="74" t="n">
        <x:v>6380.23</x:v>
      </x:c>
    </x:row>
    <x:row r="103">
      <x:c r="A103" s="65" t="str">
        <x:v>TX-1071</x:v>
      </x:c>
      <x:c r="B103" s="65" t="str">
        <x:v>2025-08-24</x:v>
      </x:c>
      <x:c r="C103" s="65" t="str">
        <x:v>Comercial</x:v>
      </x:c>
      <x:c r="D103" s="65" t="str">
        <x:v>Parceiros</x:v>
      </x:c>
      <x:c r="E103" s="65" t="str">
        <x:v>Centro-Oeste</x:v>
      </x:c>
      <x:c r="F103" s="65" t="str">
        <x:v>Beta Logistica</x:v>
      </x:c>
      <x:c r="G103" s="65" t="str">
        <x:v>Ana</x:v>
      </x:c>
      <x:c r="H103" s="74" t="n">
        <x:v>15765.94</x:v>
      </x:c>
      <x:c r="I103" s="74" t="n">
        <x:v>929.94</x:v>
      </x:c>
      <x:c r="J103" s="74" t="n">
        <x:v>8431.11</x:v>
      </x:c>
      <x:c r="K103" s="74" t="n">
        <x:v>14836</x:v>
      </x:c>
      <x:c r="L103" s="74" t="n">
        <x:v>6404.889999999999</x:v>
      </x:c>
    </x:row>
    <x:row r="104">
      <x:c r="A104" s="65" t="str">
        <x:v>TX-1106</x:v>
      </x:c>
      <x:c r="B104" s="65" t="str">
        <x:v>2025-08-25</x:v>
      </x:c>
      <x:c r="C104" s="65" t="str">
        <x:v>Comercial</x:v>
      </x:c>
      <x:c r="D104" s="65" t="str">
        <x:v>Digital</x:v>
      </x:c>
      <x:c r="E104" s="65" t="str">
        <x:v>Sudeste</x:v>
      </x:c>
      <x:c r="F104" s="65" t="str">
        <x:v>Evo Saude</x:v>
      </x:c>
      <x:c r="G104" s="65" t="str">
        <x:v>Diego</x:v>
      </x:c>
      <x:c r="H104" s="74" t="n">
        <x:v>15238.5</x:v>
      </x:c>
      <x:c r="I104" s="74" t="n">
        <x:v>1122.08</x:v>
      </x:c>
      <x:c r="J104" s="74" t="n">
        <x:v>8089.67</x:v>
      </x:c>
      <x:c r="K104" s="74" t="n">
        <x:v>14116.42</x:v>
      </x:c>
      <x:c r="L104" s="74" t="n">
        <x:v>6026.75</x:v>
      </x:c>
    </x:row>
    <x:row r="105">
      <x:c r="A105" s="65" t="str">
        <x:v>TX-1083</x:v>
      </x:c>
      <x:c r="B105" s="65" t="str">
        <x:v>2025-08-25</x:v>
      </x:c>
      <x:c r="C105" s="65" t="str">
        <x:v>Tecnologia</x:v>
      </x:c>
      <x:c r="D105" s="65" t="str">
        <x:v>Parceiros</x:v>
      </x:c>
      <x:c r="E105" s="65" t="str">
        <x:v>Sul</x:v>
      </x:c>
      <x:c r="F105" s="65" t="str">
        <x:v>Gama Servicos</x:v>
      </x:c>
      <x:c r="G105" s="65" t="str">
        <x:v>Carla</x:v>
      </x:c>
      <x:c r="H105" s="74" t="n">
        <x:v>16223.26</x:v>
      </x:c>
      <x:c r="I105" s="74" t="n">
        <x:v>1286.87</x:v>
      </x:c>
      <x:c r="J105" s="74" t="n">
        <x:v>9332.01</x:v>
      </x:c>
      <x:c r="K105" s="74" t="n">
        <x:v>14936.39</x:v>
      </x:c>
      <x:c r="L105" s="74" t="n">
        <x:v>5604.379999999999</x:v>
      </x:c>
    </x:row>
    <x:row r="106">
      <x:c r="A106" s="65" t="str">
        <x:v>TX-1081</x:v>
      </x:c>
      <x:c r="B106" s="65" t="str">
        <x:v>2025-08-25</x:v>
      </x:c>
      <x:c r="C106" s="65" t="str">
        <x:v>Operacoes</x:v>
      </x:c>
      <x:c r="D106" s="65" t="str">
        <x:v>Digital</x:v>
      </x:c>
      <x:c r="E106" s="65" t="str">
        <x:v>Sul</x:v>
      </x:c>
      <x:c r="F106" s="65" t="str">
        <x:v>Horizonte Tech</x:v>
      </x:c>
      <x:c r="G106" s="65" t="str">
        <x:v>Diego</x:v>
      </x:c>
      <x:c r="H106" s="74" t="n">
        <x:v>14797.88</x:v>
      </x:c>
      <x:c r="I106" s="74" t="n">
        <x:v>860.3</x:v>
      </x:c>
      <x:c r="J106" s="74" t="n">
        <x:v>10160.83</x:v>
      </x:c>
      <x:c r="K106" s="74" t="n">
        <x:v>13937.58</x:v>
      </x:c>
      <x:c r="L106" s="74" t="n">
        <x:v>3776.75</x:v>
      </x:c>
    </x:row>
    <x:row r="107">
      <x:c r="A107" s="65" t="str">
        <x:v>TX-1076</x:v>
      </x:c>
      <x:c r="B107" s="65" t="str">
        <x:v>2025-08-25</x:v>
      </x:c>
      <x:c r="C107" s="65" t="str">
        <x:v>Tecnologia</x:v>
      </x:c>
      <x:c r="D107" s="65" t="str">
        <x:v>Parceiros</x:v>
      </x:c>
      <x:c r="E107" s="65" t="str">
        <x:v>Centro-Oeste</x:v>
      </x:c>
      <x:c r="F107" s="65" t="str">
        <x:v>Foco Energia</x:v>
      </x:c>
      <x:c r="G107" s="65" t="str">
        <x:v>Diego</x:v>
      </x:c>
      <x:c r="H107" s="74" t="n">
        <x:v>15257.13</x:v>
      </x:c>
      <x:c r="I107" s="74" t="n">
        <x:v>821.15</x:v>
      </x:c>
      <x:c r="J107" s="74" t="n">
        <x:v>8012.81</x:v>
      </x:c>
      <x:c r="K107" s="74" t="n">
        <x:v>14435.98</x:v>
      </x:c>
      <x:c r="L107" s="74" t="n">
        <x:v>6423.169999999999</x:v>
      </x:c>
    </x:row>
    <x:row r="108">
      <x:c r="A108" s="65" t="str">
        <x:v>TX-1094</x:v>
      </x:c>
      <x:c r="B108" s="65" t="str">
        <x:v>2025-08-25</x:v>
      </x:c>
      <x:c r="C108" s="65" t="str">
        <x:v>Marketing</x:v>
      </x:c>
      <x:c r="D108" s="65" t="str">
        <x:v>Digital</x:v>
      </x:c>
      <x:c r="E108" s="65" t="str">
        <x:v>Nordeste</x:v>
      </x:c>
      <x:c r="F108" s="65" t="str">
        <x:v>Crescer Educacao</x:v>
      </x:c>
      <x:c r="G108" s="65" t="str">
        <x:v>Ana</x:v>
      </x:c>
      <x:c r="H108" s="74" t="n">
        <x:v>9250.68</x:v>
      </x:c>
      <x:c r="I108" s="74" t="n">
        <x:v>279.15</x:v>
      </x:c>
      <x:c r="J108" s="74" t="n">
        <x:v>6140.72</x:v>
      </x:c>
      <x:c r="K108" s="74" t="n">
        <x:v>8971.53</x:v>
      </x:c>
      <x:c r="L108" s="74" t="n">
        <x:v>2830.8100000000004</x:v>
      </x:c>
    </x:row>
    <x:row r="109">
      <x:c r="A109" s="65" t="str">
        <x:v>TX-1072</x:v>
      </x:c>
      <x:c r="B109" s="65" t="str">
        <x:v>2025-08-25</x:v>
      </x:c>
      <x:c r="C109" s="65" t="str">
        <x:v>Tecnologia</x:v>
      </x:c>
      <x:c r="D109" s="65" t="str">
        <x:v>Direto</x:v>
      </x:c>
      <x:c r="E109" s="65" t="str">
        <x:v>Centro-Oeste</x:v>
      </x:c>
      <x:c r="F109" s="65" t="str">
        <x:v>Crescer Educacao</x:v>
      </x:c>
      <x:c r="G109" s="65" t="str">
        <x:v>Ana</x:v>
      </x:c>
      <x:c r="H109" s="74" t="n">
        <x:v>20921.85</x:v>
      </x:c>
      <x:c r="I109" s="74" t="n">
        <x:v>903.65</x:v>
      </x:c>
      <x:c r="J109" s="74" t="n">
        <x:v>11371.85</x:v>
      </x:c>
      <x:c r="K109" s="74" t="n">
        <x:v>20018.199999999997</x:v>
      </x:c>
      <x:c r="L109" s="74" t="n">
        <x:v>8646.349999999997</x:v>
      </x:c>
    </x:row>
    <x:row r="110">
      <x:c r="A110" s="65" t="str">
        <x:v>TX-1146</x:v>
      </x:c>
      <x:c r="B110" s="65" t="str">
        <x:v>2025-09-01</x:v>
      </x:c>
      <x:c r="C110" s="65" t="str">
        <x:v>Comercial</x:v>
      </x:c>
      <x:c r="D110" s="65" t="str">
        <x:v>Digital</x:v>
      </x:c>
      <x:c r="E110" s="65" t="str">
        <x:v>Sul</x:v>
      </x:c>
      <x:c r="F110" s="65" t="str">
        <x:v>Evo Saude</x:v>
      </x:c>
      <x:c r="G110" s="65" t="str">
        <x:v>Bruno</x:v>
      </x:c>
      <x:c r="H110" s="74" t="n">
        <x:v>20547.96</x:v>
      </x:c>
      <x:c r="I110" s="74" t="n">
        <x:v>1557.56</x:v>
      </x:c>
      <x:c r="J110" s="74" t="n">
        <x:v>10578.02</x:v>
      </x:c>
      <x:c r="K110" s="74" t="n">
        <x:v>18990.399999999998</x:v>
      </x:c>
      <x:c r="L110" s="74" t="n">
        <x:v>8412.379999999997</x:v>
      </x:c>
    </x:row>
    <x:row r="111">
      <x:c r="A111" s="65" t="str">
        <x:v>TX-1153</x:v>
      </x:c>
      <x:c r="B111" s="65" t="str">
        <x:v>2025-09-01</x:v>
      </x:c>
      <x:c r="C111" s="65" t="str">
        <x:v>Marketing</x:v>
      </x:c>
      <x:c r="D111" s="65" t="str">
        <x:v>Digital</x:v>
      </x:c>
      <x:c r="E111" s="65" t="str">
        <x:v>Sudeste</x:v>
      </x:c>
      <x:c r="F111" s="65" t="str">
        <x:v>Delta Varejo</x:v>
      </x:c>
      <x:c r="G111" s="65" t="str">
        <x:v>Ana</x:v>
      </x:c>
      <x:c r="H111" s="74" t="n">
        <x:v>13169.24</x:v>
      </x:c>
      <x:c r="I111" s="74" t="n">
        <x:v>188.91</x:v>
      </x:c>
      <x:c r="J111" s="74" t="n">
        <x:v>9175.68</x:v>
      </x:c>
      <x:c r="K111" s="74" t="n">
        <x:v>12980.33</x:v>
      </x:c>
      <x:c r="L111" s="74" t="n">
        <x:v>3804.6499999999996</x:v>
      </x:c>
    </x:row>
    <x:row r="112">
      <x:c r="A112" s="65" t="str">
        <x:v>TX-1149</x:v>
      </x:c>
      <x:c r="B112" s="65" t="str">
        <x:v>2025-09-01</x:v>
      </x:c>
      <x:c r="C112" s="65" t="str">
        <x:v>Comercial</x:v>
      </x:c>
      <x:c r="D112" s="65" t="str">
        <x:v>Direto</x:v>
      </x:c>
      <x:c r="E112" s="65" t="str">
        <x:v>Sul</x:v>
      </x:c>
      <x:c r="F112" s="65" t="str">
        <x:v>Horizonte Tech</x:v>
      </x:c>
      <x:c r="G112" s="65" t="str">
        <x:v>Carla</x:v>
      </x:c>
      <x:c r="H112" s="74" t="n">
        <x:v>22560.12</x:v>
      </x:c>
      <x:c r="I112" s="74" t="n">
        <x:v>733.37</x:v>
      </x:c>
      <x:c r="J112" s="74" t="n">
        <x:v>11955.18</x:v>
      </x:c>
      <x:c r="K112" s="74" t="n">
        <x:v>21826.75</x:v>
      </x:c>
      <x:c r="L112" s="74" t="n">
        <x:v>9871.57</x:v>
      </x:c>
    </x:row>
    <x:row r="113">
      <x:c r="A113" s="65" t="str">
        <x:v>TX-1136</x:v>
      </x:c>
      <x:c r="B113" s="65" t="str">
        <x:v>2025-09-01</x:v>
      </x:c>
      <x:c r="C113" s="65" t="str">
        <x:v>Comercial</x:v>
      </x:c>
      <x:c r="D113" s="65" t="str">
        <x:v>Digital</x:v>
      </x:c>
      <x:c r="E113" s="65" t="str">
        <x:v>Nordeste</x:v>
      </x:c>
      <x:c r="F113" s="65" t="str">
        <x:v>Beta Logistica</x:v>
      </x:c>
      <x:c r="G113" s="65" t="str">
        <x:v>Bruno</x:v>
      </x:c>
      <x:c r="H113" s="74" t="n">
        <x:v>23035.02</x:v>
      </x:c>
      <x:c r="I113" s="74" t="n">
        <x:v>1334.17</x:v>
      </x:c>
      <x:c r="J113" s="74" t="n">
        <x:v>13203.32</x:v>
      </x:c>
      <x:c r="K113" s="74" t="n">
        <x:v>21700.85</x:v>
      </x:c>
      <x:c r="L113" s="74" t="n">
        <x:v>8497.529999999999</x:v>
      </x:c>
    </x:row>
    <x:row r="114">
      <x:c r="A114" s="65" t="str">
        <x:v>TX-1126</x:v>
      </x:c>
      <x:c r="B114" s="65" t="str">
        <x:v>2025-09-02</x:v>
      </x:c>
      <x:c r="C114" s="65" t="str">
        <x:v>Comercial</x:v>
      </x:c>
      <x:c r="D114" s="65" t="str">
        <x:v>Parceiros</x:v>
      </x:c>
      <x:c r="E114" s="65" t="str">
        <x:v>Sudeste</x:v>
      </x:c>
      <x:c r="F114" s="65" t="str">
        <x:v>Beta Logistica</x:v>
      </x:c>
      <x:c r="G114" s="65" t="str">
        <x:v>Felipe</x:v>
      </x:c>
      <x:c r="H114" s="74" t="n">
        <x:v>23242.81</x:v>
      </x:c>
      <x:c r="I114" s="74" t="n">
        <x:v>1593</x:v>
      </x:c>
      <x:c r="J114" s="74" t="n">
        <x:v>12190.3</x:v>
      </x:c>
      <x:c r="K114" s="74" t="n">
        <x:v>21649.81</x:v>
      </x:c>
      <x:c r="L114" s="74" t="n">
        <x:v>9459.510000000002</x:v>
      </x:c>
    </x:row>
    <x:row r="115">
      <x:c r="A115" s="65" t="str">
        <x:v>TX-1111</x:v>
      </x:c>
      <x:c r="B115" s="65" t="str">
        <x:v>2025-09-03</x:v>
      </x:c>
      <x:c r="C115" s="65" t="str">
        <x:v>Comercial</x:v>
      </x:c>
      <x:c r="D115" s="65" t="str">
        <x:v>Direto</x:v>
      </x:c>
      <x:c r="E115" s="65" t="str">
        <x:v>Nordeste</x:v>
      </x:c>
      <x:c r="F115" s="65" t="str">
        <x:v>Gama Servicos</x:v>
      </x:c>
      <x:c r="G115" s="65" t="str">
        <x:v>Bruno</x:v>
      </x:c>
      <x:c r="H115" s="74" t="n">
        <x:v>12938.65</x:v>
      </x:c>
      <x:c r="I115" s="74" t="n">
        <x:v>188.74</x:v>
      </x:c>
      <x:c r="J115" s="74" t="n">
        <x:v>7431.65</x:v>
      </x:c>
      <x:c r="K115" s="74" t="n">
        <x:v>12749.91</x:v>
      </x:c>
      <x:c r="L115" s="74" t="n">
        <x:v>5318.26</x:v>
      </x:c>
    </x:row>
    <x:row r="116">
      <x:c r="A116" s="65" t="str">
        <x:v>TX-1138</x:v>
      </x:c>
      <x:c r="B116" s="65" t="str">
        <x:v>2025-09-03</x:v>
      </x:c>
      <x:c r="C116" s="65" t="str">
        <x:v>Tecnologia</x:v>
      </x:c>
      <x:c r="D116" s="65" t="str">
        <x:v>Digital</x:v>
      </x:c>
      <x:c r="E116" s="65" t="str">
        <x:v>Sudeste</x:v>
      </x:c>
      <x:c r="F116" s="65" t="str">
        <x:v>Foco Energia</x:v>
      </x:c>
      <x:c r="G116" s="65" t="str">
        <x:v>Elisa</x:v>
      </x:c>
      <x:c r="H116" s="74" t="n">
        <x:v>19765.97</x:v>
      </x:c>
      <x:c r="I116" s="74" t="n">
        <x:v>260.16</x:v>
      </x:c>
      <x:c r="J116" s="74" t="n">
        <x:v>12585.1</x:v>
      </x:c>
      <x:c r="K116" s="74" t="n">
        <x:v>19505.81</x:v>
      </x:c>
      <x:c r="L116" s="74" t="n">
        <x:v>6920.710000000001</x:v>
      </x:c>
    </x:row>
    <x:row r="117">
      <x:c r="A117" s="65" t="str">
        <x:v>TX-1137</x:v>
      </x:c>
      <x:c r="B117" s="65" t="str">
        <x:v>2025-09-03</x:v>
      </x:c>
      <x:c r="C117" s="65" t="str">
        <x:v>Operacoes</x:v>
      </x:c>
      <x:c r="D117" s="65" t="str">
        <x:v>Digital</x:v>
      </x:c>
      <x:c r="E117" s="65" t="str">
        <x:v>Sudeste</x:v>
      </x:c>
      <x:c r="F117" s="65" t="str">
        <x:v>Delta Varejo</x:v>
      </x:c>
      <x:c r="G117" s="65" t="str">
        <x:v>Diego</x:v>
      </x:c>
      <x:c r="H117" s="74" t="n">
        <x:v>17542.63</x:v>
      </x:c>
      <x:c r="I117" s="74" t="n">
        <x:v>516.95</x:v>
      </x:c>
      <x:c r="J117" s="74" t="n">
        <x:v>11394</x:v>
      </x:c>
      <x:c r="K117" s="74" t="n">
        <x:v>17025.68</x:v>
      </x:c>
      <x:c r="L117" s="74" t="n">
        <x:v>5631.68</x:v>
      </x:c>
    </x:row>
    <x:row r="118">
      <x:c r="A118" s="65" t="str">
        <x:v>TX-1151</x:v>
      </x:c>
      <x:c r="B118" s="65" t="str">
        <x:v>2025-09-04</x:v>
      </x:c>
      <x:c r="C118" s="65" t="str">
        <x:v>Marketing</x:v>
      </x:c>
      <x:c r="D118" s="65" t="str">
        <x:v>Direto</x:v>
      </x:c>
      <x:c r="E118" s="65" t="str">
        <x:v>Centro-Oeste</x:v>
      </x:c>
      <x:c r="F118" s="65" t="str">
        <x:v>Foco Energia</x:v>
      </x:c>
      <x:c r="G118" s="65" t="str">
        <x:v>Diego</x:v>
      </x:c>
      <x:c r="H118" s="74" t="n">
        <x:v>9724.17</x:v>
      </x:c>
      <x:c r="I118" s="74" t="n">
        <x:v>131.35</x:v>
      </x:c>
      <x:c r="J118" s="74" t="n">
        <x:v>6674.07</x:v>
      </x:c>
      <x:c r="K118" s="74" t="n">
        <x:v>9592.82</x:v>
      </x:c>
      <x:c r="L118" s="74" t="n">
        <x:v>2918.75</x:v>
      </x:c>
    </x:row>
    <x:row r="119">
      <x:c r="A119" s="65" t="str">
        <x:v>TX-1117</x:v>
      </x:c>
      <x:c r="B119" s="65" t="str">
        <x:v>2025-09-04</x:v>
      </x:c>
      <x:c r="C119" s="65" t="str">
        <x:v>Marketing</x:v>
      </x:c>
      <x:c r="D119" s="65" t="str">
        <x:v>Direto</x:v>
      </x:c>
      <x:c r="E119" s="65" t="str">
        <x:v>Sudeste</x:v>
      </x:c>
      <x:c r="F119" s="65" t="str">
        <x:v>Foco Energia</x:v>
      </x:c>
      <x:c r="G119" s="65" t="str">
        <x:v>Diego</x:v>
      </x:c>
      <x:c r="H119" s="74" t="n">
        <x:v>14742.25</x:v>
      </x:c>
      <x:c r="I119" s="74" t="n">
        <x:v>341.76</x:v>
      </x:c>
      <x:c r="J119" s="74" t="n">
        <x:v>10221.82</x:v>
      </x:c>
      <x:c r="K119" s="74" t="n">
        <x:v>14400.49</x:v>
      </x:c>
      <x:c r="L119" s="74" t="n">
        <x:v>4178.67</x:v>
      </x:c>
    </x:row>
    <x:row r="120">
      <x:c r="A120" s="65" t="str">
        <x:v>TX-1110</x:v>
      </x:c>
      <x:c r="B120" s="65" t="str">
        <x:v>2025-09-04</x:v>
      </x:c>
      <x:c r="C120" s="65" t="str">
        <x:v>Operacoes</x:v>
      </x:c>
      <x:c r="D120" s="65" t="str">
        <x:v>Direto</x:v>
      </x:c>
      <x:c r="E120" s="65" t="str">
        <x:v>Centro-Oeste</x:v>
      </x:c>
      <x:c r="F120" s="65" t="str">
        <x:v>Horizonte Tech</x:v>
      </x:c>
      <x:c r="G120" s="65" t="str">
        <x:v>Elisa</x:v>
      </x:c>
      <x:c r="H120" s="74" t="n">
        <x:v>15609.36</x:v>
      </x:c>
      <x:c r="I120" s="74" t="n">
        <x:v>716.33</x:v>
      </x:c>
      <x:c r="J120" s="74" t="n">
        <x:v>10367.69</x:v>
      </x:c>
      <x:c r="K120" s="74" t="n">
        <x:v>14893.03</x:v>
      </x:c>
      <x:c r="L120" s="74" t="n">
        <x:v>4525.34</x:v>
      </x:c>
    </x:row>
    <x:row r="121">
      <x:c r="A121" s="65" t="str">
        <x:v>TX-1120</x:v>
      </x:c>
      <x:c r="B121" s="65" t="str">
        <x:v>2025-09-04</x:v>
      </x:c>
      <x:c r="C121" s="65" t="str">
        <x:v>Operacoes</x:v>
      </x:c>
      <x:c r="D121" s="65" t="str">
        <x:v>Direto</x:v>
      </x:c>
      <x:c r="E121" s="65" t="str">
        <x:v>Nordeste</x:v>
      </x:c>
      <x:c r="F121" s="65" t="str">
        <x:v>Gama Servicos</x:v>
      </x:c>
      <x:c r="G121" s="65" t="str">
        <x:v>Ana</x:v>
      </x:c>
      <x:c r="H121" s="74" t="n">
        <x:v>24007.14</x:v>
      </x:c>
      <x:c r="I121" s="74" t="n">
        <x:v>847.63</x:v>
      </x:c>
      <x:c r="J121" s="74" t="n">
        <x:v>16513.22</x:v>
      </x:c>
      <x:c r="K121" s="74" t="n">
        <x:v>23159.51</x:v>
      </x:c>
      <x:c r="L121" s="74" t="n">
        <x:v>6646.289999999997</x:v>
      </x:c>
    </x:row>
    <x:row r="122">
      <x:c r="A122" s="65" t="str">
        <x:v>TX-1160</x:v>
      </x:c>
      <x:c r="B122" s="65" t="str">
        <x:v>2025-09-05</x:v>
      </x:c>
      <x:c r="C122" s="65" t="str">
        <x:v>Operacoes</x:v>
      </x:c>
      <x:c r="D122" s="65" t="str">
        <x:v>Digital</x:v>
      </x:c>
      <x:c r="E122" s="65" t="str">
        <x:v>Centro-Oeste</x:v>
      </x:c>
      <x:c r="F122" s="65" t="str">
        <x:v>Gama Servicos</x:v>
      </x:c>
      <x:c r="G122" s="65" t="str">
        <x:v>Elisa</x:v>
      </x:c>
      <x:c r="H122" s="74" t="n">
        <x:v>18663.1</x:v>
      </x:c>
      <x:c r="I122" s="74" t="n">
        <x:v>613.24</x:v>
      </x:c>
      <x:c r="J122" s="74" t="n">
        <x:v>11803.57</x:v>
      </x:c>
      <x:c r="K122" s="74" t="n">
        <x:v>18049.859999999997</x:v>
      </x:c>
      <x:c r="L122" s="74" t="n">
        <x:v>6246.289999999997</x:v>
      </x:c>
    </x:row>
    <x:row r="123">
      <x:c r="A123" s="65" t="str">
        <x:v>TX-1116</x:v>
      </x:c>
      <x:c r="B123" s="65" t="str">
        <x:v>2025-09-05</x:v>
      </x:c>
      <x:c r="C123" s="65" t="str">
        <x:v>Marketing</x:v>
      </x:c>
      <x:c r="D123" s="65" t="str">
        <x:v>Direto</x:v>
      </x:c>
      <x:c r="E123" s="65" t="str">
        <x:v>Nordeste</x:v>
      </x:c>
      <x:c r="F123" s="65" t="str">
        <x:v>Alfa Industria</x:v>
      </x:c>
      <x:c r="G123" s="65" t="str">
        <x:v>Bruno</x:v>
      </x:c>
      <x:c r="H123" s="74" t="n">
        <x:v>9808.79</x:v>
      </x:c>
      <x:c r="I123" s="74" t="n">
        <x:v>414.46</x:v>
      </x:c>
      <x:c r="J123" s="74" t="n">
        <x:v>6752.69</x:v>
      </x:c>
      <x:c r="K123" s="74" t="n">
        <x:v>9394.330000000002</x:v>
      </x:c>
      <x:c r="L123" s="74" t="n">
        <x:v>2641.640000000002</x:v>
      </x:c>
    </x:row>
    <x:row r="124">
      <x:c r="A124" s="65" t="str">
        <x:v>TX-1131</x:v>
      </x:c>
      <x:c r="B124" s="65" t="str">
        <x:v>2025-09-06</x:v>
      </x:c>
      <x:c r="C124" s="65" t="str">
        <x:v>Tecnologia</x:v>
      </x:c>
      <x:c r="D124" s="65" t="str">
        <x:v>Parceiros</x:v>
      </x:c>
      <x:c r="E124" s="65" t="str">
        <x:v>Nordeste</x:v>
      </x:c>
      <x:c r="F124" s="65" t="str">
        <x:v>Alfa Industria</x:v>
      </x:c>
      <x:c r="G124" s="65" t="str">
        <x:v>Elisa</x:v>
      </x:c>
      <x:c r="H124" s="74" t="n">
        <x:v>12867.99</x:v>
      </x:c>
      <x:c r="I124" s="74" t="n">
        <x:v>919.88</x:v>
      </x:c>
      <x:c r="J124" s="74" t="n">
        <x:v>7398.59</x:v>
      </x:c>
      <x:c r="K124" s="74" t="n">
        <x:v>11948.11</x:v>
      </x:c>
      <x:c r="L124" s="74" t="n">
        <x:v>4549.52</x:v>
      </x:c>
    </x:row>
    <x:row r="125">
      <x:c r="A125" s="65" t="str">
        <x:v>TX-1145</x:v>
      </x:c>
      <x:c r="B125" s="65" t="str">
        <x:v>2025-09-07</x:v>
      </x:c>
      <x:c r="C125" s="65" t="str">
        <x:v>Operacoes</x:v>
      </x:c>
      <x:c r="D125" s="65" t="str">
        <x:v>Parceiros</x:v>
      </x:c>
      <x:c r="E125" s="65" t="str">
        <x:v>Nordeste</x:v>
      </x:c>
      <x:c r="F125" s="65" t="str">
        <x:v>Foco Energia</x:v>
      </x:c>
      <x:c r="G125" s="65" t="str">
        <x:v>Bruno</x:v>
      </x:c>
      <x:c r="H125" s="74" t="n">
        <x:v>21622.03</x:v>
      </x:c>
      <x:c r="I125" s="74" t="n">
        <x:v>1539.93</x:v>
      </x:c>
      <x:c r="J125" s="74" t="n">
        <x:v>14340.08</x:v>
      </x:c>
      <x:c r="K125" s="74" t="n">
        <x:v>20082.1</x:v>
      </x:c>
      <x:c r="L125" s="74" t="n">
        <x:v>5742.019999999999</x:v>
      </x:c>
    </x:row>
    <x:row r="126">
      <x:c r="A126" s="65" t="str">
        <x:v>TX-1161</x:v>
      </x:c>
      <x:c r="B126" s="65" t="str">
        <x:v>2025-09-07</x:v>
      </x:c>
      <x:c r="C126" s="65" t="str">
        <x:v>Operacoes</x:v>
      </x:c>
      <x:c r="D126" s="65" t="str">
        <x:v>Direto</x:v>
      </x:c>
      <x:c r="E126" s="65" t="str">
        <x:v>Sul</x:v>
      </x:c>
      <x:c r="F126" s="65" t="str">
        <x:v>Crescer Educacao</x:v>
      </x:c>
      <x:c r="G126" s="65" t="str">
        <x:v>Elisa</x:v>
      </x:c>
      <x:c r="H126" s="74" t="n">
        <x:v>17421.76</x:v>
      </x:c>
      <x:c r="I126" s="74" t="n">
        <x:v>509.77</x:v>
      </x:c>
      <x:c r="J126" s="74" t="n">
        <x:v>11811.69</x:v>
      </x:c>
      <x:c r="K126" s="74" t="n">
        <x:v>16911.989999999998</x:v>
      </x:c>
      <x:c r="L126" s="74" t="n">
        <x:v>5100.299999999997</x:v>
      </x:c>
    </x:row>
    <x:row r="127">
      <x:c r="A127" s="65" t="str">
        <x:v>TX-1115</x:v>
      </x:c>
      <x:c r="B127" s="65" t="str">
        <x:v>2025-09-07</x:v>
      </x:c>
      <x:c r="C127" s="65" t="str">
        <x:v>Tecnologia</x:v>
      </x:c>
      <x:c r="D127" s="65" t="str">
        <x:v>Parceiros</x:v>
      </x:c>
      <x:c r="E127" s="65" t="str">
        <x:v>Sudeste</x:v>
      </x:c>
      <x:c r="F127" s="65" t="str">
        <x:v>Foco Energia</x:v>
      </x:c>
      <x:c r="G127" s="65" t="str">
        <x:v>Bruno</x:v>
      </x:c>
      <x:c r="H127" s="74" t="n">
        <x:v>11276.2</x:v>
      </x:c>
      <x:c r="I127" s="74" t="n">
        <x:v>491.53</x:v>
      </x:c>
      <x:c r="J127" s="74" t="n">
        <x:v>6935.32</x:v>
      </x:c>
      <x:c r="K127" s="74" t="n">
        <x:v>10784.67</x:v>
      </x:c>
      <x:c r="L127" s="74" t="n">
        <x:v>3849.3500000000004</x:v>
      </x:c>
    </x:row>
    <x:row r="128">
      <x:c r="A128" s="65" t="str">
        <x:v>TX-1122</x:v>
      </x:c>
      <x:c r="B128" s="65" t="str">
        <x:v>2025-09-08</x:v>
      </x:c>
      <x:c r="C128" s="65" t="str">
        <x:v>Comercial</x:v>
      </x:c>
      <x:c r="D128" s="65" t="str">
        <x:v>Digital</x:v>
      </x:c>
      <x:c r="E128" s="65" t="str">
        <x:v>Centro-Oeste</x:v>
      </x:c>
      <x:c r="F128" s="65" t="str">
        <x:v>Crescer Educacao</x:v>
      </x:c>
      <x:c r="G128" s="65" t="str">
        <x:v>Ana</x:v>
      </x:c>
      <x:c r="H128" s="74" t="n">
        <x:v>19642.47</x:v>
      </x:c>
      <x:c r="I128" s="74" t="n">
        <x:v>1193.53</x:v>
      </x:c>
      <x:c r="J128" s="74" t="n">
        <x:v>9555.71</x:v>
      </x:c>
      <x:c r="K128" s="74" t="n">
        <x:v>18448.940000000002</x:v>
      </x:c>
      <x:c r="L128" s="74" t="n">
        <x:v>8893.230000000003</x:v>
      </x:c>
    </x:row>
    <x:row r="129">
      <x:c r="A129" s="65" t="str">
        <x:v>TX-1113</x:v>
      </x:c>
      <x:c r="B129" s="65" t="str">
        <x:v>2025-09-08</x:v>
      </x:c>
      <x:c r="C129" s="65" t="str">
        <x:v>Tecnologia</x:v>
      </x:c>
      <x:c r="D129" s="65" t="str">
        <x:v>Parceiros</x:v>
      </x:c>
      <x:c r="E129" s="65" t="str">
        <x:v>Centro-Oeste</x:v>
      </x:c>
      <x:c r="F129" s="65" t="str">
        <x:v>Beta Logistica</x:v>
      </x:c>
      <x:c r="G129" s="65" t="str">
        <x:v>Ana</x:v>
      </x:c>
      <x:c r="H129" s="74" t="n">
        <x:v>22403.44</x:v>
      </x:c>
      <x:c r="I129" s="74" t="n">
        <x:v>226.64</x:v>
      </x:c>
      <x:c r="J129" s="74" t="n">
        <x:v>13360.6</x:v>
      </x:c>
      <x:c r="K129" s="74" t="n">
        <x:v>22176.8</x:v>
      </x:c>
      <x:c r="L129" s="74" t="n">
        <x:v>8816.199999999999</x:v>
      </x:c>
    </x:row>
    <x:row r="130">
      <x:c r="A130" s="65" t="str">
        <x:v>TX-1158</x:v>
      </x:c>
      <x:c r="B130" s="65" t="str">
        <x:v>2025-09-09</x:v>
      </x:c>
      <x:c r="C130" s="65" t="str">
        <x:v>Tecnologia</x:v>
      </x:c>
      <x:c r="D130" s="65" t="str">
        <x:v>Parceiros</x:v>
      </x:c>
      <x:c r="E130" s="65" t="str">
        <x:v>Sudeste</x:v>
      </x:c>
      <x:c r="F130" s="65" t="str">
        <x:v>Foco Energia</x:v>
      </x:c>
      <x:c r="G130" s="65" t="str">
        <x:v>Carla</x:v>
      </x:c>
      <x:c r="H130" s="74" t="n">
        <x:v>22856.93</x:v>
      </x:c>
      <x:c r="I130" s="74" t="n">
        <x:v>1042.86</x:v>
      </x:c>
      <x:c r="J130" s="74" t="n">
        <x:v>13453.41</x:v>
      </x:c>
      <x:c r="K130" s="74" t="n">
        <x:v>21814.07</x:v>
      </x:c>
      <x:c r="L130" s="74" t="n">
        <x:v>8360.66</x:v>
      </x:c>
    </x:row>
    <x:row r="131">
      <x:c r="A131" s="65" t="str">
        <x:v>TX-1159</x:v>
      </x:c>
      <x:c r="B131" s="65" t="str">
        <x:v>2025-09-09</x:v>
      </x:c>
      <x:c r="C131" s="65" t="str">
        <x:v>Tecnologia</x:v>
      </x:c>
      <x:c r="D131" s="65" t="str">
        <x:v>Direto</x:v>
      </x:c>
      <x:c r="E131" s="65" t="str">
        <x:v>Nordeste</x:v>
      </x:c>
      <x:c r="F131" s="65" t="str">
        <x:v>Beta Logistica</x:v>
      </x:c>
      <x:c r="G131" s="65" t="str">
        <x:v>Diego</x:v>
      </x:c>
      <x:c r="H131" s="74" t="n">
        <x:v>22351.86</x:v>
      </x:c>
      <x:c r="I131" s="74" t="n">
        <x:v>420.36</x:v>
      </x:c>
      <x:c r="J131" s="74" t="n">
        <x:v>13411</x:v>
      </x:c>
      <x:c r="K131" s="74" t="n">
        <x:v>21931.5</x:v>
      </x:c>
      <x:c r="L131" s="74" t="n">
        <x:v>8520.5</x:v>
      </x:c>
    </x:row>
    <x:row r="132">
      <x:c r="A132" s="65" t="str">
        <x:v>TX-1134</x:v>
      </x:c>
      <x:c r="B132" s="65" t="str">
        <x:v>2025-09-09</x:v>
      </x:c>
      <x:c r="C132" s="65" t="str">
        <x:v>Operacoes</x:v>
      </x:c>
      <x:c r="D132" s="65" t="str">
        <x:v>Parceiros</x:v>
      </x:c>
      <x:c r="E132" s="65" t="str">
        <x:v>Nordeste</x:v>
      </x:c>
      <x:c r="F132" s="65" t="str">
        <x:v>Evo Saude</x:v>
      </x:c>
      <x:c r="G132" s="65" t="str">
        <x:v>Carla</x:v>
      </x:c>
      <x:c r="H132" s="74" t="n">
        <x:v>16868.97</x:v>
      </x:c>
      <x:c r="I132" s="74" t="n">
        <x:v>634.68</x:v>
      </x:c>
      <x:c r="J132" s="74" t="n">
        <x:v>11053.33</x:v>
      </x:c>
      <x:c r="K132" s="74" t="n">
        <x:v>16234.29</x:v>
      </x:c>
      <x:c r="L132" s="74" t="n">
        <x:v>5180.960000000001</x:v>
      </x:c>
    </x:row>
    <x:row r="133">
      <x:c r="A133" s="65" t="str">
        <x:v>TX-1143</x:v>
      </x:c>
      <x:c r="B133" s="65" t="str">
        <x:v>2025-09-11</x:v>
      </x:c>
      <x:c r="C133" s="65" t="str">
        <x:v>Operacoes</x:v>
      </x:c>
      <x:c r="D133" s="65" t="str">
        <x:v>Parceiros</x:v>
      </x:c>
      <x:c r="E133" s="65" t="str">
        <x:v>Sudeste</x:v>
      </x:c>
      <x:c r="F133" s="65" t="str">
        <x:v>Beta Logistica</x:v>
      </x:c>
      <x:c r="G133" s="65" t="str">
        <x:v>Felipe</x:v>
      </x:c>
      <x:c r="H133" s="74" t="n">
        <x:v>16663.22</x:v>
      </x:c>
      <x:c r="I133" s="74" t="n">
        <x:v>407.86</x:v>
      </x:c>
      <x:c r="J133" s="74" t="n">
        <x:v>11469.05</x:v>
      </x:c>
      <x:c r="K133" s="74" t="n">
        <x:v>16255.36</x:v>
      </x:c>
      <x:c r="L133" s="74" t="n">
        <x:v>4786.310000000001</x:v>
      </x:c>
    </x:row>
    <x:row r="134">
      <x:c r="A134" s="65" t="str">
        <x:v>TX-1140</x:v>
      </x:c>
      <x:c r="B134" s="65" t="str">
        <x:v>2025-09-11</x:v>
      </x:c>
      <x:c r="C134" s="65" t="str">
        <x:v>Marketing</x:v>
      </x:c>
      <x:c r="D134" s="65" t="str">
        <x:v>Direto</x:v>
      </x:c>
      <x:c r="E134" s="65" t="str">
        <x:v>Centro-Oeste</x:v>
      </x:c>
      <x:c r="F134" s="65" t="str">
        <x:v>Crescer Educacao</x:v>
      </x:c>
      <x:c r="G134" s="65" t="str">
        <x:v>Bruno</x:v>
      </x:c>
      <x:c r="H134" s="74" t="n">
        <x:v>9919.2</x:v>
      </x:c>
      <x:c r="I134" s="74" t="n">
        <x:v>760.9</x:v>
      </x:c>
      <x:c r="J134" s="74" t="n">
        <x:v>6935.88</x:v>
      </x:c>
      <x:c r="K134" s="74" t="n">
        <x:v>9158.300000000001</x:v>
      </x:c>
      <x:c r="L134" s="74" t="n">
        <x:v>2222.420000000001</x:v>
      </x:c>
    </x:row>
    <x:row r="135">
      <x:c r="A135" s="65" t="str">
        <x:v>TX-1135</x:v>
      </x:c>
      <x:c r="B135" s="65" t="str">
        <x:v>2025-09-11</x:v>
      </x:c>
      <x:c r="C135" s="65" t="str">
        <x:v>Operacoes</x:v>
      </x:c>
      <x:c r="D135" s="65" t="str">
        <x:v>Parceiros</x:v>
      </x:c>
      <x:c r="E135" s="65" t="str">
        <x:v>Sul</x:v>
      </x:c>
      <x:c r="F135" s="65" t="str">
        <x:v>Crescer Educacao</x:v>
      </x:c>
      <x:c r="G135" s="65" t="str">
        <x:v>Carla</x:v>
      </x:c>
      <x:c r="H135" s="74" t="n">
        <x:v>15848.54</x:v>
      </x:c>
      <x:c r="I135" s="74" t="n">
        <x:v>677.28</x:v>
      </x:c>
      <x:c r="J135" s="74" t="n">
        <x:v>10123.55</x:v>
      </x:c>
      <x:c r="K135" s="74" t="n">
        <x:v>15171.26</x:v>
      </x:c>
      <x:c r="L135" s="74" t="n">
        <x:v>5047.710000000001</x:v>
      </x:c>
    </x:row>
    <x:row r="136">
      <x:c r="A136" s="65" t="str">
        <x:v>TX-1154</x:v>
      </x:c>
      <x:c r="B136" s="65" t="str">
        <x:v>2025-09-11</x:v>
      </x:c>
      <x:c r="C136" s="65" t="str">
        <x:v>Operacoes</x:v>
      </x:c>
      <x:c r="D136" s="65" t="str">
        <x:v>Digital</x:v>
      </x:c>
      <x:c r="E136" s="65" t="str">
        <x:v>Nordeste</x:v>
      </x:c>
      <x:c r="F136" s="65" t="str">
        <x:v>Delta Varejo</x:v>
      </x:c>
      <x:c r="G136" s="65" t="str">
        <x:v>Bruno</x:v>
      </x:c>
      <x:c r="H136" s="74" t="n">
        <x:v>18071.36</x:v>
      </x:c>
      <x:c r="I136" s="74" t="n">
        <x:v>1346.85</x:v>
      </x:c>
      <x:c r="J136" s="74" t="n">
        <x:v>11957.9</x:v>
      </x:c>
      <x:c r="K136" s="74" t="n">
        <x:v>16724.510000000002</x:v>
      </x:c>
      <x:c r="L136" s="74" t="n">
        <x:v>4766.610000000002</x:v>
      </x:c>
    </x:row>
    <x:row r="137">
      <x:c r="A137" s="65" t="str">
        <x:v>TX-1118</x:v>
      </x:c>
      <x:c r="B137" s="65" t="str">
        <x:v>2025-09-13</x:v>
      </x:c>
      <x:c r="C137" s="65" t="str">
        <x:v>Comercial</x:v>
      </x:c>
      <x:c r="D137" s="65" t="str">
        <x:v>Direto</x:v>
      </x:c>
      <x:c r="E137" s="65" t="str">
        <x:v>Sul</x:v>
      </x:c>
      <x:c r="F137" s="65" t="str">
        <x:v>Gama Servicos</x:v>
      </x:c>
      <x:c r="G137" s="65" t="str">
        <x:v>Diego</x:v>
      </x:c>
      <x:c r="H137" s="74" t="n">
        <x:v>26269.36</x:v>
      </x:c>
      <x:c r="I137" s="74" t="n">
        <x:v>1347.98</x:v>
      </x:c>
      <x:c r="J137" s="74" t="n">
        <x:v>15114.71</x:v>
      </x:c>
      <x:c r="K137" s="74" t="n">
        <x:v>24921.38</x:v>
      </x:c>
      <x:c r="L137" s="74" t="n">
        <x:v>9806.670000000002</x:v>
      </x:c>
    </x:row>
    <x:row r="138">
      <x:c r="A138" s="65" t="str">
        <x:v>TX-1139</x:v>
      </x:c>
      <x:c r="B138" s="65" t="str">
        <x:v>2025-09-13</x:v>
      </x:c>
      <x:c r="C138" s="65" t="str">
        <x:v>Comercial</x:v>
      </x:c>
      <x:c r="D138" s="65" t="str">
        <x:v>Direto</x:v>
      </x:c>
      <x:c r="E138" s="65" t="str">
        <x:v>Centro-Oeste</x:v>
      </x:c>
      <x:c r="F138" s="65" t="str">
        <x:v>Gama Servicos</x:v>
      </x:c>
      <x:c r="G138" s="65" t="str">
        <x:v>Felipe</x:v>
      </x:c>
      <x:c r="H138" s="74" t="n">
        <x:v>21709.19</x:v>
      </x:c>
      <x:c r="I138" s="74" t="n">
        <x:v>665.04</x:v>
      </x:c>
      <x:c r="J138" s="74" t="n">
        <x:v>11839.13</x:v>
      </x:c>
      <x:c r="K138" s="74" t="n">
        <x:v>21044.149999999998</x:v>
      </x:c>
      <x:c r="L138" s="74" t="n">
        <x:v>9205.019999999999</x:v>
      </x:c>
    </x:row>
    <x:row r="139">
      <x:c r="A139" s="65" t="str">
        <x:v>TX-1147</x:v>
      </x:c>
      <x:c r="B139" s="65" t="str">
        <x:v>2025-09-13</x:v>
      </x:c>
      <x:c r="C139" s="65" t="str">
        <x:v>Tecnologia</x:v>
      </x:c>
      <x:c r="D139" s="65" t="str">
        <x:v>Parceiros</x:v>
      </x:c>
      <x:c r="E139" s="65" t="str">
        <x:v>Sudeste</x:v>
      </x:c>
      <x:c r="F139" s="65" t="str">
        <x:v>Beta Logistica</x:v>
      </x:c>
      <x:c r="G139" s="65" t="str">
        <x:v>Felipe</x:v>
      </x:c>
      <x:c r="H139" s="74" t="n">
        <x:v>21515.41</x:v>
      </x:c>
      <x:c r="I139" s="74" t="n">
        <x:v>869.64</x:v>
      </x:c>
      <x:c r="J139" s="74" t="n">
        <x:v>12761.3</x:v>
      </x:c>
      <x:c r="K139" s="74" t="n">
        <x:v>20645.77</x:v>
      </x:c>
      <x:c r="L139" s="74" t="n">
        <x:v>7884.470000000001</x:v>
      </x:c>
    </x:row>
    <x:row r="140">
      <x:c r="A140" s="65" t="str">
        <x:v>TX-1157</x:v>
      </x:c>
      <x:c r="B140" s="65" t="str">
        <x:v>2025-09-14</x:v>
      </x:c>
      <x:c r="C140" s="65" t="str">
        <x:v>Operacoes</x:v>
      </x:c>
      <x:c r="D140" s="65" t="str">
        <x:v>Digital</x:v>
      </x:c>
      <x:c r="E140" s="65" t="str">
        <x:v>Nordeste</x:v>
      </x:c>
      <x:c r="F140" s="65" t="str">
        <x:v>Delta Varejo</x:v>
      </x:c>
      <x:c r="G140" s="65" t="str">
        <x:v>Carla</x:v>
      </x:c>
      <x:c r="H140" s="74" t="n">
        <x:v>20531.61</x:v>
      </x:c>
      <x:c r="I140" s="74" t="n">
        <x:v>1567.13</x:v>
      </x:c>
      <x:c r="J140" s="74" t="n">
        <x:v>12234.76</x:v>
      </x:c>
      <x:c r="K140" s="74" t="n">
        <x:v>18964.48</x:v>
      </x:c>
      <x:c r="L140" s="74" t="n">
        <x:v>6729.719999999999</x:v>
      </x:c>
    </x:row>
    <x:row r="141">
      <x:c r="A141" s="65" t="str">
        <x:v>TX-1114</x:v>
      </x:c>
      <x:c r="B141" s="65" t="str">
        <x:v>2025-09-14</x:v>
      </x:c>
      <x:c r="C141" s="65" t="str">
        <x:v>Tecnologia</x:v>
      </x:c>
      <x:c r="D141" s="65" t="str">
        <x:v>Digital</x:v>
      </x:c>
      <x:c r="E141" s="65" t="str">
        <x:v>Sul</x:v>
      </x:c>
      <x:c r="F141" s="65" t="str">
        <x:v>Gama Servicos</x:v>
      </x:c>
      <x:c r="G141" s="65" t="str">
        <x:v>Diego</x:v>
      </x:c>
      <x:c r="H141" s="74" t="n">
        <x:v>15322.61</x:v>
      </x:c>
      <x:c r="I141" s="74" t="n">
        <x:v>510.5</x:v>
      </x:c>
      <x:c r="J141" s="74" t="n">
        <x:v>8929.57</x:v>
      </x:c>
      <x:c r="K141" s="74" t="n">
        <x:v>14812.11</x:v>
      </x:c>
      <x:c r="L141" s="74" t="n">
        <x:v>5882.540000000001</x:v>
      </x:c>
    </x:row>
    <x:row r="142">
      <x:c r="A142" s="65" t="str">
        <x:v>TX-1141</x:v>
      </x:c>
      <x:c r="B142" s="65" t="str">
        <x:v>2025-09-14</x:v>
      </x:c>
      <x:c r="C142" s="65" t="str">
        <x:v>Comercial</x:v>
      </x:c>
      <x:c r="D142" s="65" t="str">
        <x:v>Parceiros</x:v>
      </x:c>
      <x:c r="E142" s="65" t="str">
        <x:v>Sudeste</x:v>
      </x:c>
      <x:c r="F142" s="65" t="str">
        <x:v>Alfa Industria</x:v>
      </x:c>
      <x:c r="G142" s="65" t="str">
        <x:v>Bruno</x:v>
      </x:c>
      <x:c r="H142" s="74" t="n">
        <x:v>15280.83</x:v>
      </x:c>
      <x:c r="I142" s="74" t="n">
        <x:v>812.53</x:v>
      </x:c>
      <x:c r="J142" s="74" t="n">
        <x:v>8303.98</x:v>
      </x:c>
      <x:c r="K142" s="74" t="n">
        <x:v>14468.3</x:v>
      </x:c>
      <x:c r="L142" s="74" t="n">
        <x:v>6164.32</x:v>
      </x:c>
    </x:row>
    <x:row r="143">
      <x:c r="A143" s="65" t="str">
        <x:v>TX-1152</x:v>
      </x:c>
      <x:c r="B143" s="65" t="str">
        <x:v>2025-09-14</x:v>
      </x:c>
      <x:c r="C143" s="65" t="str">
        <x:v>Operacoes</x:v>
      </x:c>
      <x:c r="D143" s="65" t="str">
        <x:v>Parceiros</x:v>
      </x:c>
      <x:c r="E143" s="65" t="str">
        <x:v>Sul</x:v>
      </x:c>
      <x:c r="F143" s="65" t="str">
        <x:v>Foco Energia</x:v>
      </x:c>
      <x:c r="G143" s="65" t="str">
        <x:v>Elisa</x:v>
      </x:c>
      <x:c r="H143" s="74" t="n">
        <x:v>18774.04</x:v>
      </x:c>
      <x:c r="I143" s="74" t="n">
        <x:v>466.29</x:v>
      </x:c>
      <x:c r="J143" s="74" t="n">
        <x:v>12572.38</x:v>
      </x:c>
      <x:c r="K143" s="74" t="n">
        <x:v>18307.75</x:v>
      </x:c>
      <x:c r="L143" s="74" t="n">
        <x:v>5735.370000000001</x:v>
      </x:c>
    </x:row>
    <x:row r="144">
      <x:c r="A144" s="65" t="str">
        <x:v>TX-1124</x:v>
      </x:c>
      <x:c r="B144" s="65" t="str">
        <x:v>2025-09-15</x:v>
      </x:c>
      <x:c r="C144" s="65" t="str">
        <x:v>Marketing</x:v>
      </x:c>
      <x:c r="D144" s="65" t="str">
        <x:v>Parceiros</x:v>
      </x:c>
      <x:c r="E144" s="65" t="str">
        <x:v>Sul</x:v>
      </x:c>
      <x:c r="F144" s="65" t="str">
        <x:v>Beta Logistica</x:v>
      </x:c>
      <x:c r="G144" s="65" t="str">
        <x:v>Diego</x:v>
      </x:c>
      <x:c r="H144" s="74" t="n">
        <x:v>13946.85</x:v>
      </x:c>
      <x:c r="I144" s="74" t="n">
        <x:v>155.66</x:v>
      </x:c>
      <x:c r="J144" s="74" t="n">
        <x:v>9447.81</x:v>
      </x:c>
      <x:c r="K144" s="74" t="n">
        <x:v>13791.19</x:v>
      </x:c>
      <x:c r="L144" s="74" t="n">
        <x:v>4343.380000000001</x:v>
      </x:c>
    </x:row>
    <x:row r="145">
      <x:c r="A145" s="65" t="str">
        <x:v>TX-1121</x:v>
      </x:c>
      <x:c r="B145" s="65" t="str">
        <x:v>2025-09-16</x:v>
      </x:c>
      <x:c r="C145" s="65" t="str">
        <x:v>Comercial</x:v>
      </x:c>
      <x:c r="D145" s="65" t="str">
        <x:v>Digital</x:v>
      </x:c>
      <x:c r="E145" s="65" t="str">
        <x:v>Sudeste</x:v>
      </x:c>
      <x:c r="F145" s="65" t="str">
        <x:v>Foco Energia</x:v>
      </x:c>
      <x:c r="G145" s="65" t="str">
        <x:v>Carla</x:v>
      </x:c>
      <x:c r="H145" s="74" t="n">
        <x:v>24170.41</x:v>
      </x:c>
      <x:c r="I145" s="74" t="n">
        <x:v>779.12</x:v>
      </x:c>
      <x:c r="J145" s="74" t="n">
        <x:v>12726.67</x:v>
      </x:c>
      <x:c r="K145" s="74" t="n">
        <x:v>23391.29</x:v>
      </x:c>
      <x:c r="L145" s="74" t="n">
        <x:v>10664.62</x:v>
      </x:c>
    </x:row>
    <x:row r="146">
      <x:c r="A146" s="65" t="str">
        <x:v>TX-1119</x:v>
      </x:c>
      <x:c r="B146" s="65" t="str">
        <x:v>2025-09-16</x:v>
      </x:c>
      <x:c r="C146" s="65" t="str">
        <x:v>Comercial</x:v>
      </x:c>
      <x:c r="D146" s="65" t="str">
        <x:v>Direto</x:v>
      </x:c>
      <x:c r="E146" s="65" t="str">
        <x:v>Centro-Oeste</x:v>
      </x:c>
      <x:c r="F146" s="65" t="str">
        <x:v>Evo Saude</x:v>
      </x:c>
      <x:c r="G146" s="65" t="str">
        <x:v>Carla</x:v>
      </x:c>
      <x:c r="H146" s="74" t="n">
        <x:v>20343.48</x:v>
      </x:c>
      <x:c r="I146" s="74" t="n">
        <x:v>1421.69</x:v>
      </x:c>
      <x:c r="J146" s="74" t="n">
        <x:v>10590.79</x:v>
      </x:c>
      <x:c r="K146" s="74" t="n">
        <x:v>18921.79</x:v>
      </x:c>
      <x:c r="L146" s="74" t="n">
        <x:v>8331</x:v>
      </x:c>
    </x:row>
    <x:row r="147">
      <x:c r="A147" s="65" t="str">
        <x:v>TX-1144</x:v>
      </x:c>
      <x:c r="B147" s="65" t="str">
        <x:v>2025-09-17</x:v>
      </x:c>
      <x:c r="C147" s="65" t="str">
        <x:v>Comercial</x:v>
      </x:c>
      <x:c r="D147" s="65" t="str">
        <x:v>Parceiros</x:v>
      </x:c>
      <x:c r="E147" s="65" t="str">
        <x:v>Sudeste</x:v>
      </x:c>
      <x:c r="F147" s="65" t="str">
        <x:v>Delta Varejo</x:v>
      </x:c>
      <x:c r="G147" s="65" t="str">
        <x:v>Bruno</x:v>
      </x:c>
      <x:c r="H147" s="74" t="n">
        <x:v>22021.69</x:v>
      </x:c>
      <x:c r="I147" s="74" t="n">
        <x:v>1525.08</x:v>
      </x:c>
      <x:c r="J147" s="74" t="n">
        <x:v>11863.31</x:v>
      </x:c>
      <x:c r="K147" s="74" t="n">
        <x:v>20496.61</x:v>
      </x:c>
      <x:c r="L147" s="74" t="n">
        <x:v>8633.300000000001</x:v>
      </x:c>
    </x:row>
    <x:row r="148">
      <x:c r="A148" s="65" t="str">
        <x:v>TX-1109</x:v>
      </x:c>
      <x:c r="B148" s="65" t="str">
        <x:v>2025-09-17</x:v>
      </x:c>
      <x:c r="C148" s="65" t="str">
        <x:v>Operacoes</x:v>
      </x:c>
      <x:c r="D148" s="65" t="str">
        <x:v>Direto</x:v>
      </x:c>
      <x:c r="E148" s="65" t="str">
        <x:v>Nordeste</x:v>
      </x:c>
      <x:c r="F148" s="65" t="str">
        <x:v>Crescer Educacao</x:v>
      </x:c>
      <x:c r="G148" s="65" t="str">
        <x:v>Ana</x:v>
      </x:c>
      <x:c r="H148" s="74" t="n">
        <x:v>15320.29</x:v>
      </x:c>
      <x:c r="I148" s="74" t="n">
        <x:v>997.83</x:v>
      </x:c>
      <x:c r="J148" s="74" t="n">
        <x:v>10054.05</x:v>
      </x:c>
      <x:c r="K148" s="74" t="n">
        <x:v>14322.460000000001</x:v>
      </x:c>
      <x:c r="L148" s="74" t="n">
        <x:v>4268.410000000002</x:v>
      </x:c>
    </x:row>
    <x:row r="149">
      <x:c r="A149" s="65" t="str">
        <x:v>TX-1155</x:v>
      </x:c>
      <x:c r="B149" s="65" t="str">
        <x:v>2025-09-17</x:v>
      </x:c>
      <x:c r="C149" s="65" t="str">
        <x:v>Tecnologia</x:v>
      </x:c>
      <x:c r="D149" s="65" t="str">
        <x:v>Parceiros</x:v>
      </x:c>
      <x:c r="E149" s="65" t="str">
        <x:v>Sudeste</x:v>
      </x:c>
      <x:c r="F149" s="65" t="str">
        <x:v>Alfa Industria</x:v>
      </x:c>
      <x:c r="G149" s="65" t="str">
        <x:v>Elisa</x:v>
      </x:c>
      <x:c r="H149" s="74" t="n">
        <x:v>21629.49</x:v>
      </x:c>
      <x:c r="I149" s="74" t="n">
        <x:v>1654.75</x:v>
      </x:c>
      <x:c r="J149" s="74" t="n">
        <x:v>13148.73</x:v>
      </x:c>
      <x:c r="K149" s="74" t="n">
        <x:v>19974.74</x:v>
      </x:c>
      <x:c r="L149" s="74" t="n">
        <x:v>6826.010000000002</x:v>
      </x:c>
    </x:row>
    <x:row r="150">
      <x:c r="A150" s="65" t="str">
        <x:v>TX-1156</x:v>
      </x:c>
      <x:c r="B150" s="65" t="str">
        <x:v>2025-09-19</x:v>
      </x:c>
      <x:c r="C150" s="65" t="str">
        <x:v>Operacoes</x:v>
      </x:c>
      <x:c r="D150" s="65" t="str">
        <x:v>Digital</x:v>
      </x:c>
      <x:c r="E150" s="65" t="str">
        <x:v>Sul</x:v>
      </x:c>
      <x:c r="F150" s="65" t="str">
        <x:v>Horizonte Tech</x:v>
      </x:c>
      <x:c r="G150" s="65" t="str">
        <x:v>Carla</x:v>
      </x:c>
      <x:c r="H150" s="74" t="n">
        <x:v>19625.03</x:v>
      </x:c>
      <x:c r="I150" s="74" t="n">
        <x:v>813.93</x:v>
      </x:c>
      <x:c r="J150" s="74" t="n">
        <x:v>12823.98</x:v>
      </x:c>
      <x:c r="K150" s="74" t="n">
        <x:v>18811.1</x:v>
      </x:c>
      <x:c r="L150" s="74" t="n">
        <x:v>5987.119999999999</x:v>
      </x:c>
    </x:row>
    <x:row r="151">
      <x:c r="A151" s="65" t="str">
        <x:v>TX-1142</x:v>
      </x:c>
      <x:c r="B151" s="65" t="str">
        <x:v>2025-09-19</x:v>
      </x:c>
      <x:c r="C151" s="65" t="str">
        <x:v>Comercial</x:v>
      </x:c>
      <x:c r="D151" s="65" t="str">
        <x:v>Direto</x:v>
      </x:c>
      <x:c r="E151" s="65" t="str">
        <x:v>Centro-Oeste</x:v>
      </x:c>
      <x:c r="F151" s="65" t="str">
        <x:v>Crescer Educacao</x:v>
      </x:c>
      <x:c r="G151" s="65" t="str">
        <x:v>Felipe</x:v>
      </x:c>
      <x:c r="H151" s="74" t="n">
        <x:v>25743.49</x:v>
      </x:c>
      <x:c r="I151" s="74" t="n">
        <x:v>1310.24</x:v>
      </x:c>
      <x:c r="J151" s="74" t="n">
        <x:v>14209.35</x:v>
      </x:c>
      <x:c r="K151" s="74" t="n">
        <x:v>24433.25</x:v>
      </x:c>
      <x:c r="L151" s="74" t="n">
        <x:v>10223.9</x:v>
      </x:c>
    </x:row>
    <x:row r="152">
      <x:c r="A152" s="65" t="str">
        <x:v>TX-1133</x:v>
      </x:c>
      <x:c r="B152" s="65" t="str">
        <x:v>2025-09-20</x:v>
      </x:c>
      <x:c r="C152" s="65" t="str">
        <x:v>Comercial</x:v>
      </x:c>
      <x:c r="D152" s="65" t="str">
        <x:v>Direto</x:v>
      </x:c>
      <x:c r="E152" s="65" t="str">
        <x:v>Centro-Oeste</x:v>
      </x:c>
      <x:c r="F152" s="65" t="str">
        <x:v>Horizonte Tech</x:v>
      </x:c>
      <x:c r="G152" s="65" t="str">
        <x:v>Carla</x:v>
      </x:c>
      <x:c r="H152" s="74" t="n">
        <x:v>27180.44</x:v>
      </x:c>
      <x:c r="I152" s="74" t="n">
        <x:v>1686.6</x:v>
      </x:c>
      <x:c r="J152" s="74" t="n">
        <x:v>14490.66</x:v>
      </x:c>
      <x:c r="K152" s="74" t="n">
        <x:v>25493.84</x:v>
      </x:c>
      <x:c r="L152" s="74" t="n">
        <x:v>11003.18</x:v>
      </x:c>
    </x:row>
    <x:row r="153">
      <x:c r="A153" s="65" t="str">
        <x:v>TX-1132</x:v>
      </x:c>
      <x:c r="B153" s="65" t="str">
        <x:v>2025-09-20</x:v>
      </x:c>
      <x:c r="C153" s="65" t="str">
        <x:v>Operacoes</x:v>
      </x:c>
      <x:c r="D153" s="65" t="str">
        <x:v>Digital</x:v>
      </x:c>
      <x:c r="E153" s="65" t="str">
        <x:v>Nordeste</x:v>
      </x:c>
      <x:c r="F153" s="65" t="str">
        <x:v>Gama Servicos</x:v>
      </x:c>
      <x:c r="G153" s="65" t="str">
        <x:v>Felipe</x:v>
      </x:c>
      <x:c r="H153" s="74" t="n">
        <x:v>18728.05</x:v>
      </x:c>
      <x:c r="I153" s="74" t="n">
        <x:v>934.44</x:v>
      </x:c>
      <x:c r="J153" s="74" t="n">
        <x:v>12779.27</x:v>
      </x:c>
      <x:c r="K153" s="74" t="n">
        <x:v>17793.61</x:v>
      </x:c>
      <x:c r="L153" s="74" t="n">
        <x:v>5014.34</x:v>
      </x:c>
    </x:row>
    <x:row r="154">
      <x:c r="A154" s="65" t="str">
        <x:v>TX-1129</x:v>
      </x:c>
      <x:c r="B154" s="65" t="str">
        <x:v>2025-09-20</x:v>
      </x:c>
      <x:c r="C154" s="65" t="str">
        <x:v>Tecnologia</x:v>
      </x:c>
      <x:c r="D154" s="65" t="str">
        <x:v>Parceiros</x:v>
      </x:c>
      <x:c r="E154" s="65" t="str">
        <x:v>Sul</x:v>
      </x:c>
      <x:c r="F154" s="65" t="str">
        <x:v>Beta Logistica</x:v>
      </x:c>
      <x:c r="G154" s="65" t="str">
        <x:v>Elisa</x:v>
      </x:c>
      <x:c r="H154" s="74" t="n">
        <x:v>18027.96</x:v>
      </x:c>
      <x:c r="I154" s="74" t="n">
        <x:v>298.99</x:v>
      </x:c>
      <x:c r="J154" s="74" t="n">
        <x:v>10853.92</x:v>
      </x:c>
      <x:c r="K154" s="74" t="n">
        <x:v>17728.969999999998</x:v>
      </x:c>
      <x:c r="L154" s="74" t="n">
        <x:v>6875.049999999997</x:v>
      </x:c>
    </x:row>
    <x:row r="155">
      <x:c r="A155" s="65" t="str">
        <x:v>TX-1150</x:v>
      </x:c>
      <x:c r="B155" s="65" t="str">
        <x:v>2025-09-21</x:v>
      </x:c>
      <x:c r="C155" s="65" t="str">
        <x:v>Tecnologia</x:v>
      </x:c>
      <x:c r="D155" s="65" t="str">
        <x:v>Digital</x:v>
      </x:c>
      <x:c r="E155" s="65" t="str">
        <x:v>Sul</x:v>
      </x:c>
      <x:c r="F155" s="65" t="str">
        <x:v>Delta Varejo</x:v>
      </x:c>
      <x:c r="G155" s="65" t="str">
        <x:v>Felipe</x:v>
      </x:c>
      <x:c r="H155" s="74" t="n">
        <x:v>21219.2</x:v>
      </x:c>
      <x:c r="I155" s="74" t="n">
        <x:v>1680.61</x:v>
      </x:c>
      <x:c r="J155" s="74" t="n">
        <x:v>11926.9</x:v>
      </x:c>
      <x:c r="K155" s="74" t="n">
        <x:v>19538.59</x:v>
      </x:c>
      <x:c r="L155" s="74" t="n">
        <x:v>7611.6900000000005</x:v>
      </x:c>
    </x:row>
    <x:row r="156">
      <x:c r="A156" s="65" t="str">
        <x:v>TX-1127</x:v>
      </x:c>
      <x:c r="B156" s="65" t="str">
        <x:v>2025-09-22</x:v>
      </x:c>
      <x:c r="C156" s="65" t="str">
        <x:v>Comercial</x:v>
      </x:c>
      <x:c r="D156" s="65" t="str">
        <x:v>Digital</x:v>
      </x:c>
      <x:c r="E156" s="65" t="str">
        <x:v>Nordeste</x:v>
      </x:c>
      <x:c r="F156" s="65" t="str">
        <x:v>Evo Saude</x:v>
      </x:c>
      <x:c r="G156" s="65" t="str">
        <x:v>Elisa</x:v>
      </x:c>
      <x:c r="H156" s="74" t="n">
        <x:v>18544.83</x:v>
      </x:c>
      <x:c r="I156" s="74" t="n">
        <x:v>904.02</x:v>
      </x:c>
      <x:c r="J156" s="74" t="n">
        <x:v>9726.88</x:v>
      </x:c>
      <x:c r="K156" s="74" t="n">
        <x:v>17640.81</x:v>
      </x:c>
      <x:c r="L156" s="74" t="n">
        <x:v>7913.930000000002</x:v>
      </x:c>
    </x:row>
    <x:row r="157">
      <x:c r="A157" s="65" t="str">
        <x:v>TX-1108</x:v>
      </x:c>
      <x:c r="B157" s="65" t="str">
        <x:v>2025-09-22</x:v>
      </x:c>
      <x:c r="C157" s="65" t="str">
        <x:v>Tecnologia</x:v>
      </x:c>
      <x:c r="D157" s="65" t="str">
        <x:v>Parceiros</x:v>
      </x:c>
      <x:c r="E157" s="65" t="str">
        <x:v>Centro-Oeste</x:v>
      </x:c>
      <x:c r="F157" s="65" t="str">
        <x:v>Horizonte Tech</x:v>
      </x:c>
      <x:c r="G157" s="65" t="str">
        <x:v>Diego</x:v>
      </x:c>
      <x:c r="H157" s="74" t="n">
        <x:v>21416.27</x:v>
      </x:c>
      <x:c r="I157" s="74" t="n">
        <x:v>1389.22</x:v>
      </x:c>
      <x:c r="J157" s="74" t="n">
        <x:v>12007.83</x:v>
      </x:c>
      <x:c r="K157" s="74" t="n">
        <x:v>20027.05</x:v>
      </x:c>
      <x:c r="L157" s="74" t="n">
        <x:v>8019.219999999999</x:v>
      </x:c>
    </x:row>
    <x:row r="158">
      <x:c r="A158" s="65" t="str">
        <x:v>TX-1123</x:v>
      </x:c>
      <x:c r="B158" s="65" t="str">
        <x:v>2025-09-23</x:v>
      </x:c>
      <x:c r="C158" s="65" t="str">
        <x:v>Tecnologia</x:v>
      </x:c>
      <x:c r="D158" s="65" t="str">
        <x:v>Direto</x:v>
      </x:c>
      <x:c r="E158" s="65" t="str">
        <x:v>Sudeste</x:v>
      </x:c>
      <x:c r="F158" s="65" t="str">
        <x:v>Gama Servicos</x:v>
      </x:c>
      <x:c r="G158" s="65" t="str">
        <x:v>Diego</x:v>
      </x:c>
      <x:c r="H158" s="74" t="n">
        <x:v>19988.8</x:v>
      </x:c>
      <x:c r="I158" s="74" t="n">
        <x:v>400.98</x:v>
      </x:c>
      <x:c r="J158" s="74" t="n">
        <x:v>12679.92</x:v>
      </x:c>
      <x:c r="K158" s="74" t="n">
        <x:v>19587.82</x:v>
      </x:c>
      <x:c r="L158" s="74" t="n">
        <x:v>6907.9</x:v>
      </x:c>
    </x:row>
    <x:row r="159">
      <x:c r="A159" s="65" t="str">
        <x:v>TX-1112</x:v>
      </x:c>
      <x:c r="B159" s="65" t="str">
        <x:v>2025-09-23</x:v>
      </x:c>
      <x:c r="C159" s="65" t="str">
        <x:v>Comercial</x:v>
      </x:c>
      <x:c r="D159" s="65" t="str">
        <x:v>Digital</x:v>
      </x:c>
      <x:c r="E159" s="65" t="str">
        <x:v>Sul</x:v>
      </x:c>
      <x:c r="F159" s="65" t="str">
        <x:v>Beta Logistica</x:v>
      </x:c>
      <x:c r="G159" s="65" t="str">
        <x:v>Felipe</x:v>
      </x:c>
      <x:c r="H159" s="74" t="n">
        <x:v>17838.91</x:v>
      </x:c>
      <x:c r="I159" s="74" t="n">
        <x:v>658.53</x:v>
      </x:c>
      <x:c r="J159" s="74" t="n">
        <x:v>9170.38</x:v>
      </x:c>
      <x:c r="K159" s="74" t="n">
        <x:v>17180.38</x:v>
      </x:c>
      <x:c r="L159" s="74" t="n">
        <x:v>8010.000000000002</x:v>
      </x:c>
    </x:row>
    <x:row r="160">
      <x:c r="A160" s="65" t="str">
        <x:v>TX-1130</x:v>
      </x:c>
      <x:c r="B160" s="65" t="str">
        <x:v>2025-09-23</x:v>
      </x:c>
      <x:c r="C160" s="65" t="str">
        <x:v>Comercial</x:v>
      </x:c>
      <x:c r="D160" s="65" t="str">
        <x:v>Digital</x:v>
      </x:c>
      <x:c r="E160" s="65" t="str">
        <x:v>Centro-Oeste</x:v>
      </x:c>
      <x:c r="F160" s="65" t="str">
        <x:v>Horizonte Tech</x:v>
      </x:c>
      <x:c r="G160" s="65" t="str">
        <x:v>Bruno</x:v>
      </x:c>
      <x:c r="H160" s="74" t="n">
        <x:v>17426.17</x:v>
      </x:c>
      <x:c r="I160" s="74" t="n">
        <x:v>391.93</x:v>
      </x:c>
      <x:c r="J160" s="74" t="n">
        <x:v>8926.89</x:v>
      </x:c>
      <x:c r="K160" s="74" t="n">
        <x:v>17034.239999999998</x:v>
      </x:c>
      <x:c r="L160" s="74" t="n">
        <x:v>8107.3499999999985</x:v>
      </x:c>
    </x:row>
    <x:row r="161">
      <x:c r="A161" s="65" t="str">
        <x:v>TX-1125</x:v>
      </x:c>
      <x:c r="B161" s="65" t="str">
        <x:v>2025-09-23</x:v>
      </x:c>
      <x:c r="C161" s="65" t="str">
        <x:v>Marketing</x:v>
      </x:c>
      <x:c r="D161" s="65" t="str">
        <x:v>Digital</x:v>
      </x:c>
      <x:c r="E161" s="65" t="str">
        <x:v>Sudeste</x:v>
      </x:c>
      <x:c r="F161" s="65" t="str">
        <x:v>Delta Varejo</x:v>
      </x:c>
      <x:c r="G161" s="65" t="str">
        <x:v>Diego</x:v>
      </x:c>
      <x:c r="H161" s="74" t="n">
        <x:v>13370.33</x:v>
      </x:c>
      <x:c r="I161" s="74" t="n">
        <x:v>715.65</x:v>
      </x:c>
      <x:c r="J161" s="74" t="n">
        <x:v>9285.7</x:v>
      </x:c>
      <x:c r="K161" s="74" t="n">
        <x:v>12654.68</x:v>
      </x:c>
      <x:c r="L161" s="74" t="n">
        <x:v>3368.9799999999996</x:v>
      </x:c>
    </x:row>
    <x:row r="162">
      <x:c r="A162" s="65" t="str">
        <x:v>TX-1148</x:v>
      </x:c>
      <x:c r="B162" s="65" t="str">
        <x:v>2025-09-24</x:v>
      </x:c>
      <x:c r="C162" s="65" t="str">
        <x:v>Tecnologia</x:v>
      </x:c>
      <x:c r="D162" s="65" t="str">
        <x:v>Direto</x:v>
      </x:c>
      <x:c r="E162" s="65" t="str">
        <x:v>Sudeste</x:v>
      </x:c>
      <x:c r="F162" s="65" t="str">
        <x:v>Crescer Educacao</x:v>
      </x:c>
      <x:c r="G162" s="65" t="str">
        <x:v>Felipe</x:v>
      </x:c>
      <x:c r="H162" s="74" t="n">
        <x:v>26203.1</x:v>
      </x:c>
      <x:c r="I162" s="74" t="n">
        <x:v>562.07</x:v>
      </x:c>
      <x:c r="J162" s="74" t="n">
        <x:v>15519.52</x:v>
      </x:c>
      <x:c r="K162" s="74" t="n">
        <x:v>25641.03</x:v>
      </x:c>
      <x:c r="L162" s="74" t="n">
        <x:v>10121.509999999998</x:v>
      </x:c>
    </x:row>
    <x:row r="163">
      <x:c r="A163" s="65" t="str">
        <x:v>TX-1128</x:v>
      </x:c>
      <x:c r="B163" s="65" t="str">
        <x:v>2025-09-24</x:v>
      </x:c>
      <x:c r="C163" s="65" t="str">
        <x:v>Tecnologia</x:v>
      </x:c>
      <x:c r="D163" s="65" t="str">
        <x:v>Parceiros</x:v>
      </x:c>
      <x:c r="E163" s="65" t="str">
        <x:v>Centro-Oeste</x:v>
      </x:c>
      <x:c r="F163" s="65" t="str">
        <x:v>Alfa Industria</x:v>
      </x:c>
      <x:c r="G163" s="65" t="str">
        <x:v>Ana</x:v>
      </x:c>
      <x:c r="H163" s="74" t="n">
        <x:v>19440.53</x:v>
      </x:c>
      <x:c r="I163" s="74" t="n">
        <x:v>1532.68</x:v>
      </x:c>
      <x:c r="J163" s="74" t="n">
        <x:v>11245.73</x:v>
      </x:c>
      <x:c r="K163" s="74" t="n">
        <x:v>17907.85</x:v>
      </x:c>
      <x:c r="L163" s="74" t="n">
        <x:v>6662.119999999999</x:v>
      </x:c>
    </x:row>
    <x:row r="164">
      <x:c r="A164" s="65" t="str">
        <x:v>TX-1203</x:v>
      </x:c>
      <x:c r="B164" s="65" t="str">
        <x:v>2025-10-01</x:v>
      </x:c>
      <x:c r="C164" s="65" t="str">
        <x:v>Operacoes</x:v>
      </x:c>
      <x:c r="D164" s="65" t="str">
        <x:v>Digital</x:v>
      </x:c>
      <x:c r="E164" s="65" t="str">
        <x:v>Nordeste</x:v>
      </x:c>
      <x:c r="F164" s="65" t="str">
        <x:v>Alfa Industria</x:v>
      </x:c>
      <x:c r="G164" s="65" t="str">
        <x:v>Bruno</x:v>
      </x:c>
      <x:c r="H164" s="74" t="n">
        <x:v>12482.44</x:v>
      </x:c>
      <x:c r="I164" s="74" t="n">
        <x:v>892.66</x:v>
      </x:c>
      <x:c r="J164" s="74" t="n">
        <x:v>7416.44</x:v>
      </x:c>
      <x:c r="K164" s="74" t="n">
        <x:v>11589.78</x:v>
      </x:c>
      <x:c r="L164" s="74" t="n">
        <x:v>4173.340000000001</x:v>
      </x:c>
    </x:row>
    <x:row r="165">
      <x:c r="A165" s="65" t="str">
        <x:v>TX-1178</x:v>
      </x:c>
      <x:c r="B165" s="65" t="str">
        <x:v>2025-10-01</x:v>
      </x:c>
      <x:c r="C165" s="65" t="str">
        <x:v>Comercial</x:v>
      </x:c>
      <x:c r="D165" s="65" t="str">
        <x:v>Direto</x:v>
      </x:c>
      <x:c r="E165" s="65" t="str">
        <x:v>Sudeste</x:v>
      </x:c>
      <x:c r="F165" s="65" t="str">
        <x:v>Gama Servicos</x:v>
      </x:c>
      <x:c r="G165" s="65" t="str">
        <x:v>Bruno</x:v>
      </x:c>
      <x:c r="H165" s="74" t="n">
        <x:v>21107.41</x:v>
      </x:c>
      <x:c r="I165" s="74" t="n">
        <x:v>1427.26</x:v>
      </x:c>
      <x:c r="J165" s="74" t="n">
        <x:v>11069.32</x:v>
      </x:c>
      <x:c r="K165" s="74" t="n">
        <x:v>19680.15</x:v>
      </x:c>
      <x:c r="L165" s="74" t="n">
        <x:v>8610.830000000002</x:v>
      </x:c>
    </x:row>
    <x:row r="166">
      <x:c r="A166" s="65" t="str">
        <x:v>TX-1185</x:v>
      </x:c>
      <x:c r="B166" s="65" t="str">
        <x:v>2025-10-02</x:v>
      </x:c>
      <x:c r="C166" s="65" t="str">
        <x:v>Operacoes</x:v>
      </x:c>
      <x:c r="D166" s="65" t="str">
        <x:v>Direto</x:v>
      </x:c>
      <x:c r="E166" s="65" t="str">
        <x:v>Centro-Oeste</x:v>
      </x:c>
      <x:c r="F166" s="65" t="str">
        <x:v>Alfa Industria</x:v>
      </x:c>
      <x:c r="G166" s="65" t="str">
        <x:v>Elisa</x:v>
      </x:c>
      <x:c r="H166" s="74" t="n">
        <x:v>10271.85</x:v>
      </x:c>
      <x:c r="I166" s="74" t="n">
        <x:v>289.8</x:v>
      </x:c>
      <x:c r="J166" s="74" t="n">
        <x:v>7136.63</x:v>
      </x:c>
      <x:c r="K166" s="74" t="n">
        <x:v>9982.050000000001</x:v>
      </x:c>
      <x:c r="L166" s="74" t="n">
        <x:v>2845.420000000001</x:v>
      </x:c>
    </x:row>
    <x:row r="167">
      <x:c r="A167" s="65" t="str">
        <x:v>TX-1200</x:v>
      </x:c>
      <x:c r="B167" s="65" t="str">
        <x:v>2025-10-03</x:v>
      </x:c>
      <x:c r="C167" s="65" t="str">
        <x:v>Comercial</x:v>
      </x:c>
      <x:c r="D167" s="65" t="str">
        <x:v>Digital</x:v>
      </x:c>
      <x:c r="E167" s="65" t="str">
        <x:v>Centro-Oeste</x:v>
      </x:c>
      <x:c r="F167" s="65" t="str">
        <x:v>Alfa Industria</x:v>
      </x:c>
      <x:c r="G167" s="65" t="str">
        <x:v>Diego</x:v>
      </x:c>
      <x:c r="H167" s="74" t="n">
        <x:v>18956.98</x:v>
      </x:c>
      <x:c r="I167" s="74" t="n">
        <x:v>1420.36</x:v>
      </x:c>
      <x:c r="J167" s="74" t="n">
        <x:v>9535.43</x:v>
      </x:c>
      <x:c r="K167" s="74" t="n">
        <x:v>17536.62</x:v>
      </x:c>
      <x:c r="L167" s="74" t="n">
        <x:v>8001.189999999999</x:v>
      </x:c>
    </x:row>
    <x:row r="168">
      <x:c r="A168" s="65" t="str">
        <x:v>TX-1199</x:v>
      </x:c>
      <x:c r="B168" s="65" t="str">
        <x:v>2025-10-03</x:v>
      </x:c>
      <x:c r="C168" s="65" t="str">
        <x:v>Comercial</x:v>
      </x:c>
      <x:c r="D168" s="65" t="str">
        <x:v>Digital</x:v>
      </x:c>
      <x:c r="E168" s="65" t="str">
        <x:v>Nordeste</x:v>
      </x:c>
      <x:c r="F168" s="65" t="str">
        <x:v>Gama Servicos</x:v>
      </x:c>
      <x:c r="G168" s="65" t="str">
        <x:v>Elisa</x:v>
      </x:c>
      <x:c r="H168" s="74" t="n">
        <x:v>25931.48</x:v>
      </x:c>
      <x:c r="I168" s="74" t="n">
        <x:v>965.6</x:v>
      </x:c>
      <x:c r="J168" s="74" t="n">
        <x:v>13484.21</x:v>
      </x:c>
      <x:c r="K168" s="74" t="n">
        <x:v>24965.88</x:v>
      </x:c>
      <x:c r="L168" s="74" t="n">
        <x:v>11481.670000000002</x:v>
      </x:c>
    </x:row>
    <x:row r="169">
      <x:c r="A169" s="65" t="str">
        <x:v>TX-1211</x:v>
      </x:c>
      <x:c r="B169" s="65" t="str">
        <x:v>2025-10-03</x:v>
      </x:c>
      <x:c r="C169" s="65" t="str">
        <x:v>Operacoes</x:v>
      </x:c>
      <x:c r="D169" s="65" t="str">
        <x:v>Direto</x:v>
      </x:c>
      <x:c r="E169" s="65" t="str">
        <x:v>Sul</x:v>
      </x:c>
      <x:c r="F169" s="65" t="str">
        <x:v>Crescer Educacao</x:v>
      </x:c>
      <x:c r="G169" s="65" t="str">
        <x:v>Ana</x:v>
      </x:c>
      <x:c r="H169" s="74" t="n">
        <x:v>27823.58</x:v>
      </x:c>
      <x:c r="I169" s="74" t="n">
        <x:v>1513.5</x:v>
      </x:c>
      <x:c r="J169" s="74" t="n">
        <x:v>18678.76</x:v>
      </x:c>
      <x:c r="K169" s="74" t="n">
        <x:v>26310.08</x:v>
      </x:c>
      <x:c r="L169" s="74" t="n">
        <x:v>7631.320000000003</x:v>
      </x:c>
    </x:row>
    <x:row r="170">
      <x:c r="A170" s="65" t="str">
        <x:v>TX-1207</x:v>
      </x:c>
      <x:c r="B170" s="65" t="str">
        <x:v>2025-10-03</x:v>
      </x:c>
      <x:c r="C170" s="65" t="str">
        <x:v>Operacoes</x:v>
      </x:c>
      <x:c r="D170" s="65" t="str">
        <x:v>Digital</x:v>
      </x:c>
      <x:c r="E170" s="65" t="str">
        <x:v>Centro-Oeste</x:v>
      </x:c>
      <x:c r="F170" s="65" t="str">
        <x:v>Alfa Industria</x:v>
      </x:c>
      <x:c r="G170" s="65" t="str">
        <x:v>Ana</x:v>
      </x:c>
      <x:c r="H170" s="74" t="n">
        <x:v>14957.32</x:v>
      </x:c>
      <x:c r="I170" s="74" t="n">
        <x:v>447.34</x:v>
      </x:c>
      <x:c r="J170" s="74" t="n">
        <x:v>9806.77</x:v>
      </x:c>
      <x:c r="K170" s="74" t="n">
        <x:v>14509.98</x:v>
      </x:c>
      <x:c r="L170" s="74" t="n">
        <x:v>4703.209999999999</x:v>
      </x:c>
    </x:row>
    <x:row r="171">
      <x:c r="A171" s="65" t="str">
        <x:v>TX-1177</x:v>
      </x:c>
      <x:c r="B171" s="65" t="str">
        <x:v>2025-10-04</x:v>
      </x:c>
      <x:c r="C171" s="65" t="str">
        <x:v>Tecnologia</x:v>
      </x:c>
      <x:c r="D171" s="65" t="str">
        <x:v>Direto</x:v>
      </x:c>
      <x:c r="E171" s="65" t="str">
        <x:v>Sul</x:v>
      </x:c>
      <x:c r="F171" s="65" t="str">
        <x:v>Gama Servicos</x:v>
      </x:c>
      <x:c r="G171" s="65" t="str">
        <x:v>Elisa</x:v>
      </x:c>
      <x:c r="H171" s="74" t="n">
        <x:v>16532.72</x:v>
      </x:c>
      <x:c r="I171" s="74" t="n">
        <x:v>226.44</x:v>
      </x:c>
      <x:c r="J171" s="74" t="n">
        <x:v>10108.63</x:v>
      </x:c>
      <x:c r="K171" s="74" t="n">
        <x:v>16306.28</x:v>
      </x:c>
      <x:c r="L171" s="74" t="n">
        <x:v>6197.6500000000015</x:v>
      </x:c>
    </x:row>
    <x:row r="172">
      <x:c r="A172" s="65" t="str">
        <x:v>TX-1186</x:v>
      </x:c>
      <x:c r="B172" s="65" t="str">
        <x:v>2025-10-05</x:v>
      </x:c>
      <x:c r="C172" s="65" t="str">
        <x:v>Tecnologia</x:v>
      </x:c>
      <x:c r="D172" s="65" t="str">
        <x:v>Direto</x:v>
      </x:c>
      <x:c r="E172" s="65" t="str">
        <x:v>Sul</x:v>
      </x:c>
      <x:c r="F172" s="65" t="str">
        <x:v>Evo Saude</x:v>
      </x:c>
      <x:c r="G172" s="65" t="str">
        <x:v>Diego</x:v>
      </x:c>
      <x:c r="H172" s="74" t="n">
        <x:v>20854.28</x:v>
      </x:c>
      <x:c r="I172" s="74" t="n">
        <x:v>603.71</x:v>
      </x:c>
      <x:c r="J172" s="74" t="n">
        <x:v>12344</x:v>
      </x:c>
      <x:c r="K172" s="74" t="n">
        <x:v>20250.57</x:v>
      </x:c>
      <x:c r="L172" s="74" t="n">
        <x:v>7906.57</x:v>
      </x:c>
    </x:row>
    <x:row r="173">
      <x:c r="A173" s="65" t="str">
        <x:v>TX-1182</x:v>
      </x:c>
      <x:c r="B173" s="65" t="str">
        <x:v>2025-10-05</x:v>
      </x:c>
      <x:c r="C173" s="65" t="str">
        <x:v>Tecnologia</x:v>
      </x:c>
      <x:c r="D173" s="65" t="str">
        <x:v>Parceiros</x:v>
      </x:c>
      <x:c r="E173" s="65" t="str">
        <x:v>Centro-Oeste</x:v>
      </x:c>
      <x:c r="F173" s="65" t="str">
        <x:v>Delta Varejo</x:v>
      </x:c>
      <x:c r="G173" s="65" t="str">
        <x:v>Bruno</x:v>
      </x:c>
      <x:c r="H173" s="74" t="n">
        <x:v>23947.6</x:v>
      </x:c>
      <x:c r="I173" s="74" t="n">
        <x:v>469.49</x:v>
      </x:c>
      <x:c r="J173" s="74" t="n">
        <x:v>14885.99</x:v>
      </x:c>
      <x:c r="K173" s="74" t="n">
        <x:v>23478.109999999997</x:v>
      </x:c>
      <x:c r="L173" s="74" t="n">
        <x:v>8592.119999999997</x:v>
      </x:c>
    </x:row>
    <x:row r="174">
      <x:c r="A174" s="65" t="str">
        <x:v>TX-1164</x:v>
      </x:c>
      <x:c r="B174" s="65" t="str">
        <x:v>2025-10-05</x:v>
      </x:c>
      <x:c r="C174" s="65" t="str">
        <x:v>Tecnologia</x:v>
      </x:c>
      <x:c r="D174" s="65" t="str">
        <x:v>Digital</x:v>
      </x:c>
      <x:c r="E174" s="65" t="str">
        <x:v>Centro-Oeste</x:v>
      </x:c>
      <x:c r="F174" s="65" t="str">
        <x:v>Gama Servicos</x:v>
      </x:c>
      <x:c r="G174" s="65" t="str">
        <x:v>Bruno</x:v>
      </x:c>
      <x:c r="H174" s="74" t="n">
        <x:v>20284.21</x:v>
      </x:c>
      <x:c r="I174" s="74" t="n">
        <x:v>1069.3</x:v>
      </x:c>
      <x:c r="J174" s="74" t="n">
        <x:v>12181.18</x:v>
      </x:c>
      <x:c r="K174" s="74" t="n">
        <x:v>19214.91</x:v>
      </x:c>
      <x:c r="L174" s="74" t="n">
        <x:v>7033.73</x:v>
      </x:c>
    </x:row>
    <x:row r="175">
      <x:c r="A175" s="65" t="str">
        <x:v>TX-1192</x:v>
      </x:c>
      <x:c r="B175" s="65" t="str">
        <x:v>2025-10-05</x:v>
      </x:c>
      <x:c r="C175" s="65" t="str">
        <x:v>Comercial</x:v>
      </x:c>
      <x:c r="D175" s="65" t="str">
        <x:v>Digital</x:v>
      </x:c>
      <x:c r="E175" s="65" t="str">
        <x:v>Centro-Oeste</x:v>
      </x:c>
      <x:c r="F175" s="65" t="str">
        <x:v>Gama Servicos</x:v>
      </x:c>
      <x:c r="G175" s="65" t="str">
        <x:v>Ana</x:v>
      </x:c>
      <x:c r="H175" s="74" t="n">
        <x:v>15253.65</x:v>
      </x:c>
      <x:c r="I175" s="74" t="n">
        <x:v>814.08</x:v>
      </x:c>
      <x:c r="J175" s="74" t="n">
        <x:v>8517.67</x:v>
      </x:c>
      <x:c r="K175" s="74" t="n">
        <x:v>14439.57</x:v>
      </x:c>
      <x:c r="L175" s="74" t="n">
        <x:v>5921.9</x:v>
      </x:c>
    </x:row>
    <x:row r="176">
      <x:c r="A176" s="65" t="str">
        <x:v>TX-1212</x:v>
      </x:c>
      <x:c r="B176" s="65" t="str">
        <x:v>2025-10-06</x:v>
      </x:c>
      <x:c r="C176" s="65" t="str">
        <x:v>Tecnologia</x:v>
      </x:c>
      <x:c r="D176" s="65" t="str">
        <x:v>Digital</x:v>
      </x:c>
      <x:c r="E176" s="65" t="str">
        <x:v>Nordeste</x:v>
      </x:c>
      <x:c r="F176" s="65" t="str">
        <x:v>Crescer Educacao</x:v>
      </x:c>
      <x:c r="G176" s="65" t="str">
        <x:v>Diego</x:v>
      </x:c>
      <x:c r="H176" s="74" t="n">
        <x:v>16366.39</x:v>
      </x:c>
      <x:c r="I176" s="74" t="n">
        <x:v>1262</x:v>
      </x:c>
      <x:c r="J176" s="74" t="n">
        <x:v>9241.3</x:v>
      </x:c>
      <x:c r="K176" s="74" t="n">
        <x:v>15104.39</x:v>
      </x:c>
      <x:c r="L176" s="74" t="n">
        <x:v>5863.09</x:v>
      </x:c>
    </x:row>
    <x:row r="177">
      <x:c r="A177" s="65" t="str">
        <x:v>TX-1174</x:v>
      </x:c>
      <x:c r="B177" s="65" t="str">
        <x:v>2025-10-06</x:v>
      </x:c>
      <x:c r="C177" s="65" t="str">
        <x:v>Marketing</x:v>
      </x:c>
      <x:c r="D177" s="65" t="str">
        <x:v>Direto</x:v>
      </x:c>
      <x:c r="E177" s="65" t="str">
        <x:v>Sul</x:v>
      </x:c>
      <x:c r="F177" s="65" t="str">
        <x:v>Foco Energia</x:v>
      </x:c>
      <x:c r="G177" s="65" t="str">
        <x:v>Elisa</x:v>
      </x:c>
      <x:c r="H177" s="74" t="n">
        <x:v>19106.55</x:v>
      </x:c>
      <x:c r="I177" s="74" t="n">
        <x:v>807.91</x:v>
      </x:c>
      <x:c r="J177" s="74" t="n">
        <x:v>13077.08</x:v>
      </x:c>
      <x:c r="K177" s="74" t="n">
        <x:v>18298.64</x:v>
      </x:c>
      <x:c r="L177" s="74" t="n">
        <x:v>5221.5599999999995</x:v>
      </x:c>
    </x:row>
    <x:row r="178">
      <x:c r="A178" s="65" t="str">
        <x:v>TX-1202</x:v>
      </x:c>
      <x:c r="B178" s="65" t="str">
        <x:v>2025-10-06</x:v>
      </x:c>
      <x:c r="C178" s="65" t="str">
        <x:v>Tecnologia</x:v>
      </x:c>
      <x:c r="D178" s="65" t="str">
        <x:v>Parceiros</x:v>
      </x:c>
      <x:c r="E178" s="65" t="str">
        <x:v>Sudeste</x:v>
      </x:c>
      <x:c r="F178" s="65" t="str">
        <x:v>Delta Varejo</x:v>
      </x:c>
      <x:c r="G178" s="65" t="str">
        <x:v>Carla</x:v>
      </x:c>
      <x:c r="H178" s="74" t="n">
        <x:v>19460.99</x:v>
      </x:c>
      <x:c r="I178" s="74" t="n">
        <x:v>1207.4</x:v>
      </x:c>
      <x:c r="J178" s="74" t="n">
        <x:v>12307.76</x:v>
      </x:c>
      <x:c r="K178" s="74" t="n">
        <x:v>18253.59</x:v>
      </x:c>
      <x:c r="L178" s="74" t="n">
        <x:v>5945.83</x:v>
      </x:c>
    </x:row>
    <x:row r="179">
      <x:c r="A179" s="65" t="str">
        <x:v>TX-1210</x:v>
      </x:c>
      <x:c r="B179" s="65" t="str">
        <x:v>2025-10-06</x:v>
      </x:c>
      <x:c r="C179" s="65" t="str">
        <x:v>Tecnologia</x:v>
      </x:c>
      <x:c r="D179" s="65" t="str">
        <x:v>Digital</x:v>
      </x:c>
      <x:c r="E179" s="65" t="str">
        <x:v>Sul</x:v>
      </x:c>
      <x:c r="F179" s="65" t="str">
        <x:v>Horizonte Tech</x:v>
      </x:c>
      <x:c r="G179" s="65" t="str">
        <x:v>Bruno</x:v>
      </x:c>
      <x:c r="H179" s="74" t="n">
        <x:v>16205.39</x:v>
      </x:c>
      <x:c r="I179" s="74" t="n">
        <x:v>1236.67</x:v>
      </x:c>
      <x:c r="J179" s="74" t="n">
        <x:v>9179.53</x:v>
      </x:c>
      <x:c r="K179" s="74" t="n">
        <x:v>14968.72</x:v>
      </x:c>
      <x:c r="L179" s="74" t="n">
        <x:v>5789.189999999999</x:v>
      </x:c>
    </x:row>
    <x:row r="180">
      <x:c r="A180" s="65" t="str">
        <x:v>TX-1181</x:v>
      </x:c>
      <x:c r="B180" s="65" t="str">
        <x:v>2025-10-06</x:v>
      </x:c>
      <x:c r="C180" s="65" t="str">
        <x:v>Operacoes</x:v>
      </x:c>
      <x:c r="D180" s="65" t="str">
        <x:v>Direto</x:v>
      </x:c>
      <x:c r="E180" s="65" t="str">
        <x:v>Sudeste</x:v>
      </x:c>
      <x:c r="F180" s="65" t="str">
        <x:v>Alfa Industria</x:v>
      </x:c>
      <x:c r="G180" s="65" t="str">
        <x:v>Elisa</x:v>
      </x:c>
      <x:c r="H180" s="74" t="n">
        <x:v>20145.15</x:v>
      </x:c>
      <x:c r="I180" s="74" t="n">
        <x:v>322.7</x:v>
      </x:c>
      <x:c r="J180" s="74" t="n">
        <x:v>13867.91</x:v>
      </x:c>
      <x:c r="K180" s="74" t="n">
        <x:v>19822.45</x:v>
      </x:c>
      <x:c r="L180" s="74" t="n">
        <x:v>5954.540000000001</x:v>
      </x:c>
    </x:row>
    <x:row r="181">
      <x:c r="A181" s="65" t="str">
        <x:v>TX-1163</x:v>
      </x:c>
      <x:c r="B181" s="65" t="str">
        <x:v>2025-10-07</x:v>
      </x:c>
      <x:c r="C181" s="65" t="str">
        <x:v>Operacoes</x:v>
      </x:c>
      <x:c r="D181" s="65" t="str">
        <x:v>Parceiros</x:v>
      </x:c>
      <x:c r="E181" s="65" t="str">
        <x:v>Nordeste</x:v>
      </x:c>
      <x:c r="F181" s="65" t="str">
        <x:v>Evo Saude</x:v>
      </x:c>
      <x:c r="G181" s="65" t="str">
        <x:v>Ana</x:v>
      </x:c>
      <x:c r="H181" s="74" t="n">
        <x:v>21495.77</x:v>
      </x:c>
      <x:c r="I181" s="74" t="n">
        <x:v>1683.74</x:v>
      </x:c>
      <x:c r="J181" s="74" t="n">
        <x:v>13569.87</x:v>
      </x:c>
      <x:c r="K181" s="74" t="n">
        <x:v>19812.03</x:v>
      </x:c>
      <x:c r="L181" s="74" t="n">
        <x:v>6242.159999999998</x:v>
      </x:c>
    </x:row>
    <x:row r="182">
      <x:c r="A182" s="65" t="str">
        <x:v>TX-1204</x:v>
      </x:c>
      <x:c r="B182" s="65" t="str">
        <x:v>2025-10-07</x:v>
      </x:c>
      <x:c r="C182" s="65" t="str">
        <x:v>Comercial</x:v>
      </x:c>
      <x:c r="D182" s="65" t="str">
        <x:v>Digital</x:v>
      </x:c>
      <x:c r="E182" s="65" t="str">
        <x:v>Sudeste</x:v>
      </x:c>
      <x:c r="F182" s="65" t="str">
        <x:v>Horizonte Tech</x:v>
      </x:c>
      <x:c r="G182" s="65" t="str">
        <x:v>Elisa</x:v>
      </x:c>
      <x:c r="H182" s="74" t="n">
        <x:v>20634.62</x:v>
      </x:c>
      <x:c r="I182" s="74" t="n">
        <x:v>923.63</x:v>
      </x:c>
      <x:c r="J182" s="74" t="n">
        <x:v>10911.2</x:v>
      </x:c>
      <x:c r="K182" s="74" t="n">
        <x:v>19710.989999999998</x:v>
      </x:c>
      <x:c r="L182" s="74" t="n">
        <x:v>8799.789999999997</x:v>
      </x:c>
    </x:row>
    <x:row r="183">
      <x:c r="A183" s="65" t="str">
        <x:v>TX-1180</x:v>
      </x:c>
      <x:c r="B183" s="65" t="str">
        <x:v>2025-10-08</x:v>
      </x:c>
      <x:c r="C183" s="65" t="str">
        <x:v>Operacoes</x:v>
      </x:c>
      <x:c r="D183" s="65" t="str">
        <x:v>Parceiros</x:v>
      </x:c>
      <x:c r="E183" s="65" t="str">
        <x:v>Sul</x:v>
      </x:c>
      <x:c r="F183" s="65" t="str">
        <x:v>Beta Logistica</x:v>
      </x:c>
      <x:c r="G183" s="65" t="str">
        <x:v>Diego</x:v>
      </x:c>
      <x:c r="H183" s="74" t="n">
        <x:v>17185.32</x:v>
      </x:c>
      <x:c r="I183" s="74" t="n">
        <x:v>1074.4</x:v>
      </x:c>
      <x:c r="J183" s="74" t="n">
        <x:v>10424.25</x:v>
      </x:c>
      <x:c r="K183" s="74" t="n">
        <x:v>16110.92</x:v>
      </x:c>
      <x:c r="L183" s="74" t="n">
        <x:v>5686.67</x:v>
      </x:c>
    </x:row>
    <x:row r="184">
      <x:c r="A184" s="65" t="str">
        <x:v>TX-1165</x:v>
      </x:c>
      <x:c r="B184" s="65" t="str">
        <x:v>2025-10-09</x:v>
      </x:c>
      <x:c r="C184" s="65" t="str">
        <x:v>Tecnologia</x:v>
      </x:c>
      <x:c r="D184" s="65" t="str">
        <x:v>Digital</x:v>
      </x:c>
      <x:c r="E184" s="65" t="str">
        <x:v>Sudeste</x:v>
      </x:c>
      <x:c r="F184" s="65" t="str">
        <x:v>Delta Varejo</x:v>
      </x:c>
      <x:c r="G184" s="65" t="str">
        <x:v>Felipe</x:v>
      </x:c>
      <x:c r="H184" s="74" t="n">
        <x:v>22944.05</x:v>
      </x:c>
      <x:c r="I184" s="74" t="n">
        <x:v>1244.81</x:v>
      </x:c>
      <x:c r="J184" s="74" t="n">
        <x:v>13867.07</x:v>
      </x:c>
      <x:c r="K184" s="74" t="n">
        <x:v>21699.239999999998</x:v>
      </x:c>
      <x:c r="L184" s="74" t="n">
        <x:v>7832.169999999998</x:v>
      </x:c>
    </x:row>
    <x:row r="185">
      <x:c r="A185" s="65" t="str">
        <x:v>TX-1194</x:v>
      </x:c>
      <x:c r="B185" s="65" t="str">
        <x:v>2025-10-09</x:v>
      </x:c>
      <x:c r="C185" s="65" t="str">
        <x:v>Tecnologia</x:v>
      </x:c>
      <x:c r="D185" s="65" t="str">
        <x:v>Parceiros</x:v>
      </x:c>
      <x:c r="E185" s="65" t="str">
        <x:v>Nordeste</x:v>
      </x:c>
      <x:c r="F185" s="65" t="str">
        <x:v>Delta Varejo</x:v>
      </x:c>
      <x:c r="G185" s="65" t="str">
        <x:v>Bruno</x:v>
      </x:c>
      <x:c r="H185" s="74" t="n">
        <x:v>22441.01</x:v>
      </x:c>
      <x:c r="I185" s="74" t="n">
        <x:v>491.99</x:v>
      </x:c>
      <x:c r="J185" s="74" t="n">
        <x:v>14224.48</x:v>
      </x:c>
      <x:c r="K185" s="74" t="n">
        <x:v>21949.019999999997</x:v>
      </x:c>
      <x:c r="L185" s="74" t="n">
        <x:v>7724.539999999997</x:v>
      </x:c>
    </x:row>
    <x:row r="186">
      <x:c r="A186" s="65" t="str">
        <x:v>TX-1190</x:v>
      </x:c>
      <x:c r="B186" s="65" t="str">
        <x:v>2025-10-09</x:v>
      </x:c>
      <x:c r="C186" s="65" t="str">
        <x:v>Comercial</x:v>
      </x:c>
      <x:c r="D186" s="65" t="str">
        <x:v>Parceiros</x:v>
      </x:c>
      <x:c r="E186" s="65" t="str">
        <x:v>Sudeste</x:v>
      </x:c>
      <x:c r="F186" s="65" t="str">
        <x:v>Alfa Industria</x:v>
      </x:c>
      <x:c r="G186" s="65" t="str">
        <x:v>Diego</x:v>
      </x:c>
      <x:c r="H186" s="74" t="n">
        <x:v>21744.89</x:v>
      </x:c>
      <x:c r="I186" s="74" t="n">
        <x:v>1526.92</x:v>
      </x:c>
      <x:c r="J186" s="74" t="n">
        <x:v>11662.84</x:v>
      </x:c>
      <x:c r="K186" s="74" t="n">
        <x:v>20217.97</x:v>
      </x:c>
      <x:c r="L186" s="74" t="n">
        <x:v>8555.130000000001</x:v>
      </x:c>
    </x:row>
    <x:row r="187">
      <x:c r="A187" s="65" t="str">
        <x:v>TX-1191</x:v>
      </x:c>
      <x:c r="B187" s="65" t="str">
        <x:v>2025-10-09</x:v>
      </x:c>
      <x:c r="C187" s="65" t="str">
        <x:v>Comercial</x:v>
      </x:c>
      <x:c r="D187" s="65" t="str">
        <x:v>Direto</x:v>
      </x:c>
      <x:c r="E187" s="65" t="str">
        <x:v>Centro-Oeste</x:v>
      </x:c>
      <x:c r="F187" s="65" t="str">
        <x:v>Foco Energia</x:v>
      </x:c>
      <x:c r="G187" s="65" t="str">
        <x:v>Ana</x:v>
      </x:c>
      <x:c r="H187" s="74" t="n">
        <x:v>25503.68</x:v>
      </x:c>
      <x:c r="I187" s="74" t="n">
        <x:v>621.71</x:v>
      </x:c>
      <x:c r="J187" s="74" t="n">
        <x:v>14049.58</x:v>
      </x:c>
      <x:c r="K187" s="74" t="n">
        <x:v>24881.97</x:v>
      </x:c>
      <x:c r="L187" s="74" t="n">
        <x:v>10832.390000000001</x:v>
      </x:c>
    </x:row>
    <x:row r="188">
      <x:c r="A188" s="65" t="str">
        <x:v>TX-1175</x:v>
      </x:c>
      <x:c r="B188" s="65" t="str">
        <x:v>2025-10-09</x:v>
      </x:c>
      <x:c r="C188" s="65" t="str">
        <x:v>Operacoes</x:v>
      </x:c>
      <x:c r="D188" s="65" t="str">
        <x:v>Parceiros</x:v>
      </x:c>
      <x:c r="E188" s="65" t="str">
        <x:v>Sul</x:v>
      </x:c>
      <x:c r="F188" s="65" t="str">
        <x:v>Beta Logistica</x:v>
      </x:c>
      <x:c r="G188" s="65" t="str">
        <x:v>Elisa</x:v>
      </x:c>
      <x:c r="H188" s="74" t="n">
        <x:v>12370.66</x:v>
      </x:c>
      <x:c r="I188" s="74" t="n">
        <x:v>834.85</x:v>
      </x:c>
      <x:c r="J188" s="74" t="n">
        <x:v>7583.77</x:v>
      </x:c>
      <x:c r="K188" s="74" t="n">
        <x:v>11535.81</x:v>
      </x:c>
      <x:c r="L188" s="74" t="n">
        <x:v>3952.039999999999</x:v>
      </x:c>
    </x:row>
    <x:row r="189">
      <x:c r="A189" s="65" t="str">
        <x:v>TX-1169</x:v>
      </x:c>
      <x:c r="B189" s="65" t="str">
        <x:v>2025-10-09</x:v>
      </x:c>
      <x:c r="C189" s="65" t="str">
        <x:v>Operacoes</x:v>
      </x:c>
      <x:c r="D189" s="65" t="str">
        <x:v>Parceiros</x:v>
      </x:c>
      <x:c r="E189" s="65" t="str">
        <x:v>Sudeste</x:v>
      </x:c>
      <x:c r="F189" s="65" t="str">
        <x:v>Alfa Industria</x:v>
      </x:c>
      <x:c r="G189" s="65" t="str">
        <x:v>Carla</x:v>
      </x:c>
      <x:c r="H189" s="74" t="n">
        <x:v>23014.23</x:v>
      </x:c>
      <x:c r="I189" s="74" t="n">
        <x:v>452.99</x:v>
      </x:c>
      <x:c r="J189" s="74" t="n">
        <x:v>15678.31</x:v>
      </x:c>
      <x:c r="K189" s="74" t="n">
        <x:v>22561.239999999998</x:v>
      </x:c>
      <x:c r="L189" s="74" t="n">
        <x:v>6882.9299999999985</x:v>
      </x:c>
    </x:row>
    <x:row r="190">
      <x:c r="A190" s="65" t="str">
        <x:v>TX-1184</x:v>
      </x:c>
      <x:c r="B190" s="65" t="str">
        <x:v>2025-10-10</x:v>
      </x:c>
      <x:c r="C190" s="65" t="str">
        <x:v>Operacoes</x:v>
      </x:c>
      <x:c r="D190" s="65" t="str">
        <x:v>Digital</x:v>
      </x:c>
      <x:c r="E190" s="65" t="str">
        <x:v>Sul</x:v>
      </x:c>
      <x:c r="F190" s="65" t="str">
        <x:v>Alfa Industria</x:v>
      </x:c>
      <x:c r="G190" s="65" t="str">
        <x:v>Diego</x:v>
      </x:c>
      <x:c r="H190" s="74" t="n">
        <x:v>13779.15</x:v>
      </x:c>
      <x:c r="I190" s="74" t="n">
        <x:v>669.17</x:v>
      </x:c>
      <x:c r="J190" s="74" t="n">
        <x:v>8240.47</x:v>
      </x:c>
      <x:c r="K190" s="74" t="n">
        <x:v>13109.98</x:v>
      </x:c>
      <x:c r="L190" s="74" t="n">
        <x:v>4869.51</x:v>
      </x:c>
    </x:row>
    <x:row r="191">
      <x:c r="A191" s="65" t="str">
        <x:v>TX-1170</x:v>
      </x:c>
      <x:c r="B191" s="65" t="str">
        <x:v>2025-10-11</x:v>
      </x:c>
      <x:c r="C191" s="65" t="str">
        <x:v>Marketing</x:v>
      </x:c>
      <x:c r="D191" s="65" t="str">
        <x:v>Parceiros</x:v>
      </x:c>
      <x:c r="E191" s="65" t="str">
        <x:v>Centro-Oeste</x:v>
      </x:c>
      <x:c r="F191" s="65" t="str">
        <x:v>Horizonte Tech</x:v>
      </x:c>
      <x:c r="G191" s="65" t="str">
        <x:v>Bruno</x:v>
      </x:c>
      <x:c r="H191" s="74" t="n">
        <x:v>10918.16</x:v>
      </x:c>
      <x:c r="I191" s="74" t="n">
        <x:v>226.85</x:v>
      </x:c>
      <x:c r="J191" s="74" t="n">
        <x:v>7452.11</x:v>
      </x:c>
      <x:c r="K191" s="74" t="n">
        <x:v>10691.31</x:v>
      </x:c>
      <x:c r="L191" s="74" t="n">
        <x:v>3239.2</x:v>
      </x:c>
    </x:row>
    <x:row r="192">
      <x:c r="A192" s="65" t="str">
        <x:v>TX-1188</x:v>
      </x:c>
      <x:c r="B192" s="65" t="str">
        <x:v>2025-10-12</x:v>
      </x:c>
      <x:c r="C192" s="65" t="str">
        <x:v>Marketing</x:v>
      </x:c>
      <x:c r="D192" s="65" t="str">
        <x:v>Direto</x:v>
      </x:c>
      <x:c r="E192" s="65" t="str">
        <x:v>Sul</x:v>
      </x:c>
      <x:c r="F192" s="65" t="str">
        <x:v>Beta Logistica</x:v>
      </x:c>
      <x:c r="G192" s="65" t="str">
        <x:v>Carla</x:v>
      </x:c>
      <x:c r="H192" s="74" t="n">
        <x:v>20207.86</x:v>
      </x:c>
      <x:c r="I192" s="74" t="n">
        <x:v>875.53</x:v>
      </x:c>
      <x:c r="J192" s="74" t="n">
        <x:v>14236.64</x:v>
      </x:c>
      <x:c r="K192" s="74" t="n">
        <x:v>19332.33</x:v>
      </x:c>
      <x:c r="L192" s="74" t="n">
        <x:v>5095.690000000002</x:v>
      </x:c>
    </x:row>
    <x:row r="193">
      <x:c r="A193" s="65" t="str">
        <x:v>TX-1172</x:v>
      </x:c>
      <x:c r="B193" s="65" t="str">
        <x:v>2025-10-13</x:v>
      </x:c>
      <x:c r="C193" s="65" t="str">
        <x:v>Comercial</x:v>
      </x:c>
      <x:c r="D193" s="65" t="str">
        <x:v>Parceiros</x:v>
      </x:c>
      <x:c r="E193" s="65" t="str">
        <x:v>Sudeste</x:v>
      </x:c>
      <x:c r="F193" s="65" t="str">
        <x:v>Evo Saude</x:v>
      </x:c>
      <x:c r="G193" s="65" t="str">
        <x:v>Bruno</x:v>
      </x:c>
      <x:c r="H193" s="74" t="n">
        <x:v>16268.22</x:v>
      </x:c>
      <x:c r="I193" s="74" t="n">
        <x:v>363.51</x:v>
      </x:c>
      <x:c r="J193" s="74" t="n">
        <x:v>9016.66</x:v>
      </x:c>
      <x:c r="K193" s="74" t="n">
        <x:v>15904.71</x:v>
      </x:c>
      <x:c r="L193" s="74" t="n">
        <x:v>6888.049999999999</x:v>
      </x:c>
    </x:row>
    <x:row r="194">
      <x:c r="A194" s="65" t="str">
        <x:v>TX-1167</x:v>
      </x:c>
      <x:c r="B194" s="65" t="str">
        <x:v>2025-10-13</x:v>
      </x:c>
      <x:c r="C194" s="65" t="str">
        <x:v>Tecnologia</x:v>
      </x:c>
      <x:c r="D194" s="65" t="str">
        <x:v>Direto</x:v>
      </x:c>
      <x:c r="E194" s="65" t="str">
        <x:v>Sul</x:v>
      </x:c>
      <x:c r="F194" s="65" t="str">
        <x:v>Delta Varejo</x:v>
      </x:c>
      <x:c r="G194" s="65" t="str">
        <x:v>Diego</x:v>
      </x:c>
      <x:c r="H194" s="74" t="n">
        <x:v>25883.16</x:v>
      </x:c>
      <x:c r="I194" s="74" t="n">
        <x:v>1427.13</x:v>
      </x:c>
      <x:c r="J194" s="74" t="n">
        <x:v>14911.35</x:v>
      </x:c>
      <x:c r="K194" s="74" t="n">
        <x:v>24456.03</x:v>
      </x:c>
      <x:c r="L194" s="74" t="n">
        <x:v>9544.679999999998</x:v>
      </x:c>
    </x:row>
    <x:row r="195">
      <x:c r="A195" s="65" t="str">
        <x:v>TX-1189</x:v>
      </x:c>
      <x:c r="B195" s="65" t="str">
        <x:v>2025-10-15</x:v>
      </x:c>
      <x:c r="C195" s="65" t="str">
        <x:v>Comercial</x:v>
      </x:c>
      <x:c r="D195" s="65" t="str">
        <x:v>Parceiros</x:v>
      </x:c>
      <x:c r="E195" s="65" t="str">
        <x:v>Sudeste</x:v>
      </x:c>
      <x:c r="F195" s="65" t="str">
        <x:v>Alfa Industria</x:v>
      </x:c>
      <x:c r="G195" s="65" t="str">
        <x:v>Carla</x:v>
      </x:c>
      <x:c r="H195" s="74" t="n">
        <x:v>18613.17</x:v>
      </x:c>
      <x:c r="I195" s="74" t="n">
        <x:v>465.08</x:v>
      </x:c>
      <x:c r="J195" s="74" t="n">
        <x:v>10643.07</x:v>
      </x:c>
      <x:c r="K195" s="74" t="n">
        <x:v>18148.089999999997</x:v>
      </x:c>
      <x:c r="L195" s="74" t="n">
        <x:v>7505.019999999997</x:v>
      </x:c>
    </x:row>
    <x:row r="196">
      <x:c r="A196" s="65" t="str">
        <x:v>TX-1176</x:v>
      </x:c>
      <x:c r="B196" s="65" t="str">
        <x:v>2025-10-15</x:v>
      </x:c>
      <x:c r="C196" s="65" t="str">
        <x:v>Operacoes</x:v>
      </x:c>
      <x:c r="D196" s="65" t="str">
        <x:v>Digital</x:v>
      </x:c>
      <x:c r="E196" s="65" t="str">
        <x:v>Centro-Oeste</x:v>
      </x:c>
      <x:c r="F196" s="65" t="str">
        <x:v>Alfa Industria</x:v>
      </x:c>
      <x:c r="G196" s="65" t="str">
        <x:v>Bruno</x:v>
      </x:c>
      <x:c r="H196" s="74" t="n">
        <x:v>13144.2</x:v>
      </x:c>
      <x:c r="I196" s="74" t="n">
        <x:v>953.11</x:v>
      </x:c>
      <x:c r="J196" s="74" t="n">
        <x:v>8380.76</x:v>
      </x:c>
      <x:c r="K196" s="74" t="n">
        <x:v>12191.09</x:v>
      </x:c>
      <x:c r="L196" s="74" t="n">
        <x:v>3810.33</x:v>
      </x:c>
    </x:row>
    <x:row r="197">
      <x:c r="A197" s="65" t="str">
        <x:v>TX-1168</x:v>
      </x:c>
      <x:c r="B197" s="65" t="str">
        <x:v>2025-10-15</x:v>
      </x:c>
      <x:c r="C197" s="65" t="str">
        <x:v>Tecnologia</x:v>
      </x:c>
      <x:c r="D197" s="65" t="str">
        <x:v>Direto</x:v>
      </x:c>
      <x:c r="E197" s="65" t="str">
        <x:v>Sul</x:v>
      </x:c>
      <x:c r="F197" s="65" t="str">
        <x:v>Alfa Industria</x:v>
      </x:c>
      <x:c r="G197" s="65" t="str">
        <x:v>Ana</x:v>
      </x:c>
      <x:c r="H197" s="74" t="n">
        <x:v>25814.89</x:v>
      </x:c>
      <x:c r="I197" s="74" t="n">
        <x:v>1732.8</x:v>
      </x:c>
      <x:c r="J197" s="74" t="n">
        <x:v>14249.23</x:v>
      </x:c>
      <x:c r="K197" s="74" t="n">
        <x:v>24082.09</x:v>
      </x:c>
      <x:c r="L197" s="74" t="n">
        <x:v>9832.86</x:v>
      </x:c>
    </x:row>
    <x:row r="198">
      <x:c r="A198" s="65" t="str">
        <x:v>TX-1197</x:v>
      </x:c>
      <x:c r="B198" s="65" t="str">
        <x:v>2025-10-16</x:v>
      </x:c>
      <x:c r="C198" s="65" t="str">
        <x:v>Marketing</x:v>
      </x:c>
      <x:c r="D198" s="65" t="str">
        <x:v>Direto</x:v>
      </x:c>
      <x:c r="E198" s="65" t="str">
        <x:v>Sul</x:v>
      </x:c>
      <x:c r="F198" s="65" t="str">
        <x:v>Horizonte Tech</x:v>
      </x:c>
      <x:c r="G198" s="65" t="str">
        <x:v>Diego</x:v>
      </x:c>
      <x:c r="H198" s="74" t="n">
        <x:v>7517.85</x:v>
      </x:c>
      <x:c r="I198" s="74" t="n">
        <x:v>281.2</x:v>
      </x:c>
      <x:c r="J198" s="74" t="n">
        <x:v>5564.87</x:v>
      </x:c>
      <x:c r="K198" s="74" t="n">
        <x:v>7236.650000000001</x:v>
      </x:c>
      <x:c r="L198" s="74" t="n">
        <x:v>1671.7800000000007</x:v>
      </x:c>
    </x:row>
    <x:row r="199">
      <x:c r="A199" s="65" t="str">
        <x:v>TX-1209</x:v>
      </x:c>
      <x:c r="B199" s="65" t="str">
        <x:v>2025-10-16</x:v>
      </x:c>
      <x:c r="C199" s="65" t="str">
        <x:v>Comercial</x:v>
      </x:c>
      <x:c r="D199" s="65" t="str">
        <x:v>Parceiros</x:v>
      </x:c>
      <x:c r="E199" s="65" t="str">
        <x:v>Sudeste</x:v>
      </x:c>
      <x:c r="F199" s="65" t="str">
        <x:v>Evo Saude</x:v>
      </x:c>
      <x:c r="G199" s="65" t="str">
        <x:v>Bruno</x:v>
      </x:c>
      <x:c r="H199" s="74" t="n">
        <x:v>25810.37</x:v>
      </x:c>
      <x:c r="I199" s="74" t="n">
        <x:v>1201.67</x:v>
      </x:c>
      <x:c r="J199" s="74" t="n">
        <x:v>14758.39</x:v>
      </x:c>
      <x:c r="K199" s="74" t="n">
        <x:v>24608.699999999997</x:v>
      </x:c>
      <x:c r="L199" s="74" t="n">
        <x:v>9850.309999999998</x:v>
      </x:c>
    </x:row>
    <x:row r="200">
      <x:c r="A200" s="65" t="str">
        <x:v>TX-1208</x:v>
      </x:c>
      <x:c r="B200" s="65" t="str">
        <x:v>2025-10-16</x:v>
      </x:c>
      <x:c r="C200" s="65" t="str">
        <x:v>Tecnologia</x:v>
      </x:c>
      <x:c r="D200" s="65" t="str">
        <x:v>Digital</x:v>
      </x:c>
      <x:c r="E200" s="65" t="str">
        <x:v>Sudeste</x:v>
      </x:c>
      <x:c r="F200" s="65" t="str">
        <x:v>Delta Varejo</x:v>
      </x:c>
      <x:c r="G200" s="65" t="str">
        <x:v>Elisa</x:v>
      </x:c>
      <x:c r="H200" s="74" t="n">
        <x:v>14646.29</x:v>
      </x:c>
      <x:c r="I200" s="74" t="n">
        <x:v>854.01</x:v>
      </x:c>
      <x:c r="J200" s="74" t="n">
        <x:v>8813.44</x:v>
      </x:c>
      <x:c r="K200" s="74" t="n">
        <x:v>13792.28</x:v>
      </x:c>
      <x:c r="L200" s="74" t="n">
        <x:v>4978.84</x:v>
      </x:c>
    </x:row>
    <x:row r="201">
      <x:c r="A201" s="65" t="str">
        <x:v>TX-1196</x:v>
      </x:c>
      <x:c r="B201" s="65" t="str">
        <x:v>2025-10-17</x:v>
      </x:c>
      <x:c r="C201" s="65" t="str">
        <x:v>Comercial</x:v>
      </x:c>
      <x:c r="D201" s="65" t="str">
        <x:v>Parceiros</x:v>
      </x:c>
      <x:c r="E201" s="65" t="str">
        <x:v>Sul</x:v>
      </x:c>
      <x:c r="F201" s="65" t="str">
        <x:v>Delta Varejo</x:v>
      </x:c>
      <x:c r="G201" s="65" t="str">
        <x:v>Elisa</x:v>
      </x:c>
      <x:c r="H201" s="74" t="n">
        <x:v>26986.53</x:v>
      </x:c>
      <x:c r="I201" s="74" t="n">
        <x:v>1383.15</x:v>
      </x:c>
      <x:c r="J201" s="74" t="n">
        <x:v>13260.26</x:v>
      </x:c>
      <x:c r="K201" s="74" t="n">
        <x:v>25603.379999999997</x:v>
      </x:c>
      <x:c r="L201" s="74" t="n">
        <x:v>12343.119999999997</x:v>
      </x:c>
    </x:row>
    <x:row r="202">
      <x:c r="A202" s="65" t="str">
        <x:v>TX-1187</x:v>
      </x:c>
      <x:c r="B202" s="65" t="str">
        <x:v>2025-10-17</x:v>
      </x:c>
      <x:c r="C202" s="65" t="str">
        <x:v>Comercial</x:v>
      </x:c>
      <x:c r="D202" s="65" t="str">
        <x:v>Digital</x:v>
      </x:c>
      <x:c r="E202" s="65" t="str">
        <x:v>Nordeste</x:v>
      </x:c>
      <x:c r="F202" s="65" t="str">
        <x:v>Gama Servicos</x:v>
      </x:c>
      <x:c r="G202" s="65" t="str">
        <x:v>Bruno</x:v>
      </x:c>
      <x:c r="H202" s="74" t="n">
        <x:v>22093.57</x:v>
      </x:c>
      <x:c r="I202" s="74" t="n">
        <x:v>549.23</x:v>
      </x:c>
      <x:c r="J202" s="74" t="n">
        <x:v>12235.14</x:v>
      </x:c>
      <x:c r="K202" s="74" t="n">
        <x:v>21544.34</x:v>
      </x:c>
      <x:c r="L202" s="74" t="n">
        <x:v>9309.2</x:v>
      </x:c>
    </x:row>
    <x:row r="203">
      <x:c r="A203" s="65" t="str">
        <x:v>TX-1173</x:v>
      </x:c>
      <x:c r="B203" s="65" t="str">
        <x:v>2025-10-18</x:v>
      </x:c>
      <x:c r="C203" s="65" t="str">
        <x:v>Operacoes</x:v>
      </x:c>
      <x:c r="D203" s="65" t="str">
        <x:v>Direto</x:v>
      </x:c>
      <x:c r="E203" s="65" t="str">
        <x:v>Sudeste</x:v>
      </x:c>
      <x:c r="F203" s="65" t="str">
        <x:v>Foco Energia</x:v>
      </x:c>
      <x:c r="G203" s="65" t="str">
        <x:v>Elisa</x:v>
      </x:c>
      <x:c r="H203" s="74" t="n">
        <x:v>15029.74</x:v>
      </x:c>
      <x:c r="I203" s="74" t="n">
        <x:v>1201.77</x:v>
      </x:c>
      <x:c r="J203" s="74" t="n">
        <x:v>9564.49</x:v>
      </x:c>
      <x:c r="K203" s="74" t="n">
        <x:v>13827.97</x:v>
      </x:c>
      <x:c r="L203" s="74" t="n">
        <x:v>4263.48</x:v>
      </x:c>
    </x:row>
    <x:row r="204">
      <x:c r="A204" s="65" t="str">
        <x:v>TX-1214</x:v>
      </x:c>
      <x:c r="B204" s="65" t="str">
        <x:v>2025-10-20</x:v>
      </x:c>
      <x:c r="C204" s="65" t="str">
        <x:v>Tecnologia</x:v>
      </x:c>
      <x:c r="D204" s="65" t="str">
        <x:v>Parceiros</x:v>
      </x:c>
      <x:c r="E204" s="65" t="str">
        <x:v>Centro-Oeste</x:v>
      </x:c>
      <x:c r="F204" s="65" t="str">
        <x:v>Alfa Industria</x:v>
      </x:c>
      <x:c r="G204" s="65" t="str">
        <x:v>Bruno</x:v>
      </x:c>
      <x:c r="H204" s="74" t="n">
        <x:v>18362.5</x:v>
      </x:c>
      <x:c r="I204" s="74" t="n">
        <x:v>913.01</x:v>
      </x:c>
      <x:c r="J204" s="74" t="n">
        <x:v>10929.47</x:v>
      </x:c>
      <x:c r="K204" s="74" t="n">
        <x:v>17449.49</x:v>
      </x:c>
      <x:c r="L204" s="74" t="n">
        <x:v>6520.020000000002</x:v>
      </x:c>
    </x:row>
    <x:row r="205">
      <x:c r="A205" s="65" t="str">
        <x:v>TX-1162</x:v>
      </x:c>
      <x:c r="B205" s="65" t="str">
        <x:v>2025-10-20</x:v>
      </x:c>
      <x:c r="C205" s="65" t="str">
        <x:v>Marketing</x:v>
      </x:c>
      <x:c r="D205" s="65" t="str">
        <x:v>Digital</x:v>
      </x:c>
      <x:c r="E205" s="65" t="str">
        <x:v>Nordeste</x:v>
      </x:c>
      <x:c r="F205" s="65" t="str">
        <x:v>Evo Saude</x:v>
      </x:c>
      <x:c r="G205" s="65" t="str">
        <x:v>Elisa</x:v>
      </x:c>
      <x:c r="H205" s="74" t="n">
        <x:v>15944.45</x:v>
      </x:c>
      <x:c r="I205" s="74" t="n">
        <x:v>764.47</x:v>
      </x:c>
      <x:c r="J205" s="74" t="n">
        <x:v>11881.35</x:v>
      </x:c>
      <x:c r="K205" s="74" t="n">
        <x:v>15179.980000000001</x:v>
      </x:c>
      <x:c r="L205" s="74" t="n">
        <x:v>3298.630000000001</x:v>
      </x:c>
    </x:row>
    <x:row r="206">
      <x:c r="A206" s="65" t="str">
        <x:v>TX-1179</x:v>
      </x:c>
      <x:c r="B206" s="65" t="str">
        <x:v>2025-10-21</x:v>
      </x:c>
      <x:c r="C206" s="65" t="str">
        <x:v>Tecnologia</x:v>
      </x:c>
      <x:c r="D206" s="65" t="str">
        <x:v>Parceiros</x:v>
      </x:c>
      <x:c r="E206" s="65" t="str">
        <x:v>Nordeste</x:v>
      </x:c>
      <x:c r="F206" s="65" t="str">
        <x:v>Evo Saude</x:v>
      </x:c>
      <x:c r="G206" s="65" t="str">
        <x:v>Bruno</x:v>
      </x:c>
      <x:c r="H206" s="74" t="n">
        <x:v>17683.26</x:v>
      </x:c>
      <x:c r="I206" s="74" t="n">
        <x:v>291.65</x:v>
      </x:c>
      <x:c r="J206" s="74" t="n">
        <x:v>10854.51</x:v>
      </x:c>
      <x:c r="K206" s="74" t="n">
        <x:v>17391.609999999997</x:v>
      </x:c>
      <x:c r="L206" s="74" t="n">
        <x:v>6537.099999999997</x:v>
      </x:c>
    </x:row>
    <x:row r="207">
      <x:c r="A207" s="65" t="str">
        <x:v>TX-1193</x:v>
      </x:c>
      <x:c r="B207" s="65" t="str">
        <x:v>2025-10-21</x:v>
      </x:c>
      <x:c r="C207" s="65" t="str">
        <x:v>Tecnologia</x:v>
      </x:c>
      <x:c r="D207" s="65" t="str">
        <x:v>Direto</x:v>
      </x:c>
      <x:c r="E207" s="65" t="str">
        <x:v>Sul</x:v>
      </x:c>
      <x:c r="F207" s="65" t="str">
        <x:v>Delta Varejo</x:v>
      </x:c>
      <x:c r="G207" s="65" t="str">
        <x:v>Felipe</x:v>
      </x:c>
      <x:c r="H207" s="74" t="n">
        <x:v>23263.22</x:v>
      </x:c>
      <x:c r="I207" s="74" t="n">
        <x:v>304.57</x:v>
      </x:c>
      <x:c r="J207" s="74" t="n">
        <x:v>13933.63</x:v>
      </x:c>
      <x:c r="K207" s="74" t="n">
        <x:v>22958.65</x:v>
      </x:c>
      <x:c r="L207" s="74" t="n">
        <x:v>9025.020000000002</x:v>
      </x:c>
    </x:row>
    <x:row r="208">
      <x:c r="A208" s="65" t="str">
        <x:v>TX-1183</x:v>
      </x:c>
      <x:c r="B208" s="65" t="str">
        <x:v>2025-10-22</x:v>
      </x:c>
      <x:c r="C208" s="65" t="str">
        <x:v>Marketing</x:v>
      </x:c>
      <x:c r="D208" s="65" t="str">
        <x:v>Parceiros</x:v>
      </x:c>
      <x:c r="E208" s="65" t="str">
        <x:v>Nordeste</x:v>
      </x:c>
      <x:c r="F208" s="65" t="str">
        <x:v>Horizonte Tech</x:v>
      </x:c>
      <x:c r="G208" s="65" t="str">
        <x:v>Bruno</x:v>
      </x:c>
      <x:c r="H208" s="74" t="n">
        <x:v>5073.79</x:v>
      </x:c>
      <x:c r="I208" s="74" t="n">
        <x:v>119.04</x:v>
      </x:c>
      <x:c r="J208" s="74" t="n">
        <x:v>3764.01</x:v>
      </x:c>
      <x:c r="K208" s="74" t="n">
        <x:v>4954.75</x:v>
      </x:c>
      <x:c r="L208" s="74" t="n">
        <x:v>1190.7399999999998</x:v>
      </x:c>
    </x:row>
    <x:row r="209">
      <x:c r="A209" s="65" t="str">
        <x:v>TX-1205</x:v>
      </x:c>
      <x:c r="B209" s="65" t="str">
        <x:v>2025-10-22</x:v>
      </x:c>
      <x:c r="C209" s="65" t="str">
        <x:v>Comercial</x:v>
      </x:c>
      <x:c r="D209" s="65" t="str">
        <x:v>Parceiros</x:v>
      </x:c>
      <x:c r="E209" s="65" t="str">
        <x:v>Centro-Oeste</x:v>
      </x:c>
      <x:c r="F209" s="65" t="str">
        <x:v>Evo Saude</x:v>
      </x:c>
      <x:c r="G209" s="65" t="str">
        <x:v>Carla</x:v>
      </x:c>
      <x:c r="H209" s="74" t="n">
        <x:v>18465.67</x:v>
      </x:c>
      <x:c r="I209" s="74" t="n">
        <x:v>1319.75</x:v>
      </x:c>
      <x:c r="J209" s="74" t="n">
        <x:v>10495.19</x:v>
      </x:c>
      <x:c r="K209" s="74" t="n">
        <x:v>17145.92</x:v>
      </x:c>
      <x:c r="L209" s="74" t="n">
        <x:v>6650.729999999998</x:v>
      </x:c>
    </x:row>
    <x:row r="210">
      <x:c r="A210" s="65" t="str">
        <x:v>TX-1213</x:v>
      </x:c>
      <x:c r="B210" s="65" t="str">
        <x:v>2025-10-23</x:v>
      </x:c>
      <x:c r="C210" s="65" t="str">
        <x:v>Comercial</x:v>
      </x:c>
      <x:c r="D210" s="65" t="str">
        <x:v>Direto</x:v>
      </x:c>
      <x:c r="E210" s="65" t="str">
        <x:v>Centro-Oeste</x:v>
      </x:c>
      <x:c r="F210" s="65" t="str">
        <x:v>Horizonte Tech</x:v>
      </x:c>
      <x:c r="G210" s="65" t="str">
        <x:v>Ana</x:v>
      </x:c>
      <x:c r="H210" s="74" t="n">
        <x:v>24270.64</x:v>
      </x:c>
      <x:c r="I210" s="74" t="n">
        <x:v>1665.53</x:v>
      </x:c>
      <x:c r="J210" s="74" t="n">
        <x:v>12459.58</x:v>
      </x:c>
      <x:c r="K210" s="74" t="n">
        <x:v>22605.11</x:v>
      </x:c>
      <x:c r="L210" s="74" t="n">
        <x:v>10145.53</x:v>
      </x:c>
    </x:row>
    <x:row r="211">
      <x:c r="A211" s="65" t="str">
        <x:v>TX-1201</x:v>
      </x:c>
      <x:c r="B211" s="65" t="str">
        <x:v>2025-10-24</x:v>
      </x:c>
      <x:c r="C211" s="65" t="str">
        <x:v>Tecnologia</x:v>
      </x:c>
      <x:c r="D211" s="65" t="str">
        <x:v>Parceiros</x:v>
      </x:c>
      <x:c r="E211" s="65" t="str">
        <x:v>Sudeste</x:v>
      </x:c>
      <x:c r="F211" s="65" t="str">
        <x:v>Horizonte Tech</x:v>
      </x:c>
      <x:c r="G211" s="65" t="str">
        <x:v>Elisa</x:v>
      </x:c>
      <x:c r="H211" s="74" t="n">
        <x:v>21707.1</x:v>
      </x:c>
      <x:c r="I211" s="74" t="n">
        <x:v>1096.83</x:v>
      </x:c>
      <x:c r="J211" s="74" t="n">
        <x:v>12766.33</x:v>
      </x:c>
      <x:c r="K211" s="74" t="n">
        <x:v>20610.269999999997</x:v>
      </x:c>
      <x:c r="L211" s="74" t="n">
        <x:v>7843.939999999997</x:v>
      </x:c>
    </x:row>
    <x:row r="212">
      <x:c r="A212" s="65" t="str">
        <x:v>TX-1206</x:v>
      </x:c>
      <x:c r="B212" s="65" t="str">
        <x:v>2025-10-24</x:v>
      </x:c>
      <x:c r="C212" s="65" t="str">
        <x:v>Tecnologia</x:v>
      </x:c>
      <x:c r="D212" s="65" t="str">
        <x:v>Parceiros</x:v>
      </x:c>
      <x:c r="E212" s="65" t="str">
        <x:v>Sudeste</x:v>
      </x:c>
      <x:c r="F212" s="65" t="str">
        <x:v>Delta Varejo</x:v>
      </x:c>
      <x:c r="G212" s="65" t="str">
        <x:v>Ana</x:v>
      </x:c>
      <x:c r="H212" s="74" t="n">
        <x:v>10862.81</x:v>
      </x:c>
      <x:c r="I212" s="74" t="n">
        <x:v>570.35</x:v>
      </x:c>
      <x:c r="J212" s="74" t="n">
        <x:v>6064.09</x:v>
      </x:c>
      <x:c r="K212" s="74" t="n">
        <x:v>10292.46</x:v>
      </x:c>
      <x:c r="L212" s="74" t="n">
        <x:v>4228.369999999999</x:v>
      </x:c>
    </x:row>
    <x:row r="213">
      <x:c r="A213" s="65" t="str">
        <x:v>TX-1198</x:v>
      </x:c>
      <x:c r="B213" s="65" t="str">
        <x:v>2025-10-25</x:v>
      </x:c>
      <x:c r="C213" s="65" t="str">
        <x:v>Tecnologia</x:v>
      </x:c>
      <x:c r="D213" s="65" t="str">
        <x:v>Parceiros</x:v>
      </x:c>
      <x:c r="E213" s="65" t="str">
        <x:v>Sudeste</x:v>
      </x:c>
      <x:c r="F213" s="65" t="str">
        <x:v>Delta Varejo</x:v>
      </x:c>
      <x:c r="G213" s="65" t="str">
        <x:v>Diego</x:v>
      </x:c>
      <x:c r="H213" s="74" t="n">
        <x:v>21436.99</x:v>
      </x:c>
      <x:c r="I213" s="74" t="n">
        <x:v>1046.3</x:v>
      </x:c>
      <x:c r="J213" s="74" t="n">
        <x:v>12962.61</x:v>
      </x:c>
      <x:c r="K213" s="74" t="n">
        <x:v>20390.690000000002</x:v>
      </x:c>
      <x:c r="L213" s="74" t="n">
        <x:v>7428.080000000002</x:v>
      </x:c>
    </x:row>
    <x:row r="214">
      <x:c r="A214" s="65" t="str">
        <x:v>TX-1195</x:v>
      </x:c>
      <x:c r="B214" s="65" t="str">
        <x:v>2025-10-25</x:v>
      </x:c>
      <x:c r="C214" s="65" t="str">
        <x:v>Tecnologia</x:v>
      </x:c>
      <x:c r="D214" s="65" t="str">
        <x:v>Parceiros</x:v>
      </x:c>
      <x:c r="E214" s="65" t="str">
        <x:v>Sul</x:v>
      </x:c>
      <x:c r="F214" s="65" t="str">
        <x:v>Beta Logistica</x:v>
      </x:c>
      <x:c r="G214" s="65" t="str">
        <x:v>Bruno</x:v>
      </x:c>
      <x:c r="H214" s="74" t="n">
        <x:v>21532.14</x:v>
      </x:c>
      <x:c r="I214" s="74" t="n">
        <x:v>1096.69</x:v>
      </x:c>
      <x:c r="J214" s="74" t="n">
        <x:v>12656.4</x:v>
      </x:c>
      <x:c r="K214" s="74" t="n">
        <x:v>20435.45</x:v>
      </x:c>
      <x:c r="L214" s="74" t="n">
        <x:v>7779.050000000001</x:v>
      </x:c>
    </x:row>
    <x:row r="215">
      <x:c r="A215" s="65" t="str">
        <x:v>TX-1171</x:v>
      </x:c>
      <x:c r="B215" s="65" t="str">
        <x:v>2025-10-25</x:v>
      </x:c>
      <x:c r="C215" s="65" t="str">
        <x:v>Comercial</x:v>
      </x:c>
      <x:c r="D215" s="65" t="str">
        <x:v>Parceiros</x:v>
      </x:c>
      <x:c r="E215" s="65" t="str">
        <x:v>Centro-Oeste</x:v>
      </x:c>
      <x:c r="F215" s="65" t="str">
        <x:v>Beta Logistica</x:v>
      </x:c>
      <x:c r="G215" s="65" t="str">
        <x:v>Diego</x:v>
      </x:c>
      <x:c r="H215" s="74" t="n">
        <x:v>21559.26</x:v>
      </x:c>
      <x:c r="I215" s="74" t="n">
        <x:v>1408.93</x:v>
      </x:c>
      <x:c r="J215" s="74" t="n">
        <x:v>11252.99</x:v>
      </x:c>
      <x:c r="K215" s="74" t="n">
        <x:v>20150.329999999998</x:v>
      </x:c>
      <x:c r="L215" s="74" t="n">
        <x:v>8897.339999999998</x:v>
      </x:c>
    </x:row>
    <x:row r="216">
      <x:c r="A216" s="65" t="str">
        <x:v>TX-1166</x:v>
      </x:c>
      <x:c r="B216" s="65" t="str">
        <x:v>2025-10-25</x:v>
      </x:c>
      <x:c r="C216" s="65" t="str">
        <x:v>Marketing</x:v>
      </x:c>
      <x:c r="D216" s="65" t="str">
        <x:v>Digital</x:v>
      </x:c>
      <x:c r="E216" s="65" t="str">
        <x:v>Sudeste</x:v>
      </x:c>
      <x:c r="F216" s="65" t="str">
        <x:v>Gama Servicos</x:v>
      </x:c>
      <x:c r="G216" s="65" t="str">
        <x:v>Ana</x:v>
      </x:c>
      <x:c r="H216" s="74" t="n">
        <x:v>10755.72</x:v>
      </x:c>
      <x:c r="I216" s="74" t="n">
        <x:v>844.05</x:v>
      </x:c>
      <x:c r="J216" s="74" t="n">
        <x:v>7543.22</x:v>
      </x:c>
      <x:c r="K216" s="74" t="n">
        <x:v>9911.67</x:v>
      </x:c>
      <x:c r="L216" s="74" t="n">
        <x:v>2368.45</x:v>
      </x:c>
    </x:row>
    <x:row r="217">
      <x:c r="A217" s="65" t="str">
        <x:v>TX-1215</x:v>
      </x:c>
      <x:c r="B217" s="65" t="str">
        <x:v>2025-10-25</x:v>
      </x:c>
      <x:c r="C217" s="65" t="str">
        <x:v>Comercial</x:v>
      </x:c>
      <x:c r="D217" s="65" t="str">
        <x:v>Direto</x:v>
      </x:c>
      <x:c r="E217" s="65" t="str">
        <x:v>Sudeste</x:v>
      </x:c>
      <x:c r="F217" s="65" t="str">
        <x:v>Foco Energia</x:v>
      </x:c>
      <x:c r="G217" s="65" t="str">
        <x:v>Felipe</x:v>
      </x:c>
      <x:c r="H217" s="74" t="n">
        <x:v>20691.19</x:v>
      </x:c>
      <x:c r="I217" s="74" t="n">
        <x:v>621.22</x:v>
      </x:c>
      <x:c r="J217" s="74" t="n">
        <x:v>11804.65</x:v>
      </x:c>
      <x:c r="K217" s="74" t="n">
        <x:v>20069.969999999998</x:v>
      </x:c>
      <x:c r="L217" s="74" t="n">
        <x:v>8265.319999999998</x:v>
      </x:c>
    </x:row>
    <x:row r="218">
      <x:c r="A218" s="65" t="str">
        <x:v>TX-1244</x:v>
      </x:c>
      <x:c r="B218" s="65" t="str">
        <x:v>2025-11-01</x:v>
      </x:c>
      <x:c r="C218" s="65" t="str">
        <x:v>Comercial</x:v>
      </x:c>
      <x:c r="D218" s="65" t="str">
        <x:v>Digital</x:v>
      </x:c>
      <x:c r="E218" s="65" t="str">
        <x:v>Nordeste</x:v>
      </x:c>
      <x:c r="F218" s="65" t="str">
        <x:v>Beta Logistica</x:v>
      </x:c>
      <x:c r="G218" s="65" t="str">
        <x:v>Elisa</x:v>
      </x:c>
      <x:c r="H218" s="74" t="n">
        <x:v>21771.46</x:v>
      </x:c>
      <x:c r="I218" s="74" t="n">
        <x:v>831.7</x:v>
      </x:c>
      <x:c r="J218" s="74" t="n">
        <x:v>12446.55</x:v>
      </x:c>
      <x:c r="K218" s="74" t="n">
        <x:v>20939.76</x:v>
      </x:c>
      <x:c r="L218" s="74" t="n">
        <x:v>8493.21</x:v>
      </x:c>
    </x:row>
    <x:row r="219">
      <x:c r="A219" s="65" t="str">
        <x:v>TX-1246</x:v>
      </x:c>
      <x:c r="B219" s="65" t="str">
        <x:v>2025-11-01</x:v>
      </x:c>
      <x:c r="C219" s="65" t="str">
        <x:v>Comercial</x:v>
      </x:c>
      <x:c r="D219" s="65" t="str">
        <x:v>Parceiros</x:v>
      </x:c>
      <x:c r="E219" s="65" t="str">
        <x:v>Centro-Oeste</x:v>
      </x:c>
      <x:c r="F219" s="65" t="str">
        <x:v>Delta Varejo</x:v>
      </x:c>
      <x:c r="G219" s="65" t="str">
        <x:v>Elisa</x:v>
      </x:c>
      <x:c r="H219" s="74" t="n">
        <x:v>21569.71</x:v>
      </x:c>
      <x:c r="I219" s="74" t="n">
        <x:v>1672</x:v>
      </x:c>
      <x:c r="J219" s="74" t="n">
        <x:v>11062.1</x:v>
      </x:c>
      <x:c r="K219" s="74" t="n">
        <x:v>19897.71</x:v>
      </x:c>
      <x:c r="L219" s="74" t="n">
        <x:v>8835.609999999999</x:v>
      </x:c>
    </x:row>
    <x:row r="220">
      <x:c r="A220" s="65" t="str">
        <x:v>TX-1260</x:v>
      </x:c>
      <x:c r="B220" s="65" t="str">
        <x:v>2025-11-01</x:v>
      </x:c>
      <x:c r="C220" s="65" t="str">
        <x:v>Tecnologia</x:v>
      </x:c>
      <x:c r="D220" s="65" t="str">
        <x:v>Digital</x:v>
      </x:c>
      <x:c r="E220" s="65" t="str">
        <x:v>Centro-Oeste</x:v>
      </x:c>
      <x:c r="F220" s="65" t="str">
        <x:v>Horizonte Tech</x:v>
      </x:c>
      <x:c r="G220" s="65" t="str">
        <x:v>Ana</x:v>
      </x:c>
      <x:c r="H220" s="74" t="n">
        <x:v>16028.23</x:v>
      </x:c>
      <x:c r="I220" s="74" t="n">
        <x:v>1052.51</x:v>
      </x:c>
      <x:c r="J220" s="74" t="n">
        <x:v>9943.81</x:v>
      </x:c>
      <x:c r="K220" s="74" t="n">
        <x:v>14975.72</x:v>
      </x:c>
      <x:c r="L220" s="74" t="n">
        <x:v>5031.91</x:v>
      </x:c>
    </x:row>
    <x:row r="221">
      <x:c r="A221" s="65" t="str">
        <x:v>TX-1268</x:v>
      </x:c>
      <x:c r="B221" s="65" t="str">
        <x:v>2025-11-01</x:v>
      </x:c>
      <x:c r="C221" s="65" t="str">
        <x:v>Tecnologia</x:v>
      </x:c>
      <x:c r="D221" s="65" t="str">
        <x:v>Digital</x:v>
      </x:c>
      <x:c r="E221" s="65" t="str">
        <x:v>Centro-Oeste</x:v>
      </x:c>
      <x:c r="F221" s="65" t="str">
        <x:v>Gama Servicos</x:v>
      </x:c>
      <x:c r="G221" s="65" t="str">
        <x:v>Ana</x:v>
      </x:c>
      <x:c r="H221" s="74" t="n">
        <x:v>20260.43</x:v>
      </x:c>
      <x:c r="I221" s="74" t="n">
        <x:v>1110.89</x:v>
      </x:c>
      <x:c r="J221" s="74" t="n">
        <x:v>11382.05</x:v>
      </x:c>
      <x:c r="K221" s="74" t="n">
        <x:v>19149.54</x:v>
      </x:c>
      <x:c r="L221" s="74" t="n">
        <x:v>7767.490000000002</x:v>
      </x:c>
    </x:row>
    <x:row r="222">
      <x:c r="A222" s="65" t="str">
        <x:v>TX-1238</x:v>
      </x:c>
      <x:c r="B222" s="65" t="str">
        <x:v>2025-11-02</x:v>
      </x:c>
      <x:c r="C222" s="65" t="str">
        <x:v>Comercial</x:v>
      </x:c>
      <x:c r="D222" s="65" t="str">
        <x:v>Digital</x:v>
      </x:c>
      <x:c r="E222" s="65" t="str">
        <x:v>Sul</x:v>
      </x:c>
      <x:c r="F222" s="65" t="str">
        <x:v>Delta Varejo</x:v>
      </x:c>
      <x:c r="G222" s="65" t="str">
        <x:v>Diego</x:v>
      </x:c>
      <x:c r="H222" s="74" t="n">
        <x:v>16391.63</x:v>
      </x:c>
      <x:c r="I222" s="74" t="n">
        <x:v>434.7</x:v>
      </x:c>
      <x:c r="J222" s="74" t="n">
        <x:v>8851.99</x:v>
      </x:c>
      <x:c r="K222" s="74" t="n">
        <x:v>15956.93</x:v>
      </x:c>
      <x:c r="L222" s="74" t="n">
        <x:v>7104.9400000000005</x:v>
      </x:c>
    </x:row>
    <x:row r="223">
      <x:c r="A223" s="65" t="str">
        <x:v>TX-1221</x:v>
      </x:c>
      <x:c r="B223" s="65" t="str">
        <x:v>2025-11-02</x:v>
      </x:c>
      <x:c r="C223" s="65" t="str">
        <x:v>Comercial</x:v>
      </x:c>
      <x:c r="D223" s="65" t="str">
        <x:v>Parceiros</x:v>
      </x:c>
      <x:c r="E223" s="65" t="str">
        <x:v>Centro-Oeste</x:v>
      </x:c>
      <x:c r="F223" s="65" t="str">
        <x:v>Crescer Educacao</x:v>
      </x:c>
      <x:c r="G223" s="65" t="str">
        <x:v>Diego</x:v>
      </x:c>
      <x:c r="H223" s="74" t="n">
        <x:v>22113.71</x:v>
      </x:c>
      <x:c r="I223" s="74" t="n">
        <x:v>523.18</x:v>
      </x:c>
      <x:c r="J223" s="74" t="n">
        <x:v>11715.74</x:v>
      </x:c>
      <x:c r="K223" s="74" t="n">
        <x:v>21590.53</x:v>
      </x:c>
      <x:c r="L223" s="74" t="n">
        <x:v>9874.789999999999</x:v>
      </x:c>
    </x:row>
    <x:row r="224">
      <x:c r="A224" s="65" t="str">
        <x:v>TX-1218</x:v>
      </x:c>
      <x:c r="B224" s="65" t="str">
        <x:v>2025-11-03</x:v>
      </x:c>
      <x:c r="C224" s="65" t="str">
        <x:v>Tecnologia</x:v>
      </x:c>
      <x:c r="D224" s="65" t="str">
        <x:v>Direto</x:v>
      </x:c>
      <x:c r="E224" s="65" t="str">
        <x:v>Nordeste</x:v>
      </x:c>
      <x:c r="F224" s="65" t="str">
        <x:v>Alfa Industria</x:v>
      </x:c>
      <x:c r="G224" s="65" t="str">
        <x:v>Diego</x:v>
      </x:c>
      <x:c r="H224" s="74" t="n">
        <x:v>21357.83</x:v>
      </x:c>
      <x:c r="I224" s="74" t="n">
        <x:v>754.19</x:v>
      </x:c>
      <x:c r="J224" s="74" t="n">
        <x:v>12725.74</x:v>
      </x:c>
      <x:c r="K224" s="74" t="n">
        <x:v>20603.640000000003</x:v>
      </x:c>
      <x:c r="L224" s="74" t="n">
        <x:v>7877.900000000003</x:v>
      </x:c>
    </x:row>
    <x:row r="225">
      <x:c r="A225" s="65" t="str">
        <x:v>TX-1249</x:v>
      </x:c>
      <x:c r="B225" s="65" t="str">
        <x:v>2025-11-03</x:v>
      </x:c>
      <x:c r="C225" s="65" t="str">
        <x:v>Tecnologia</x:v>
      </x:c>
      <x:c r="D225" s="65" t="str">
        <x:v>Direto</x:v>
      </x:c>
      <x:c r="E225" s="65" t="str">
        <x:v>Sudeste</x:v>
      </x:c>
      <x:c r="F225" s="65" t="str">
        <x:v>Evo Saude</x:v>
      </x:c>
      <x:c r="G225" s="65" t="str">
        <x:v>Carla</x:v>
      </x:c>
      <x:c r="H225" s="74" t="n">
        <x:v>15824.03</x:v>
      </x:c>
      <x:c r="I225" s="74" t="n">
        <x:v>569.79</x:v>
      </x:c>
      <x:c r="J225" s="74" t="n">
        <x:v>9098.1</x:v>
      </x:c>
      <x:c r="K225" s="74" t="n">
        <x:v>15254.240000000002</x:v>
      </x:c>
      <x:c r="L225" s="74" t="n">
        <x:v>6156.140000000001</x:v>
      </x:c>
    </x:row>
    <x:row r="226">
      <x:c r="A226" s="65" t="str">
        <x:v>TX-1232</x:v>
      </x:c>
      <x:c r="B226" s="65" t="str">
        <x:v>2025-11-03</x:v>
      </x:c>
      <x:c r="C226" s="65" t="str">
        <x:v>Operacoes</x:v>
      </x:c>
      <x:c r="D226" s="65" t="str">
        <x:v>Digital</x:v>
      </x:c>
      <x:c r="E226" s="65" t="str">
        <x:v>Centro-Oeste</x:v>
      </x:c>
      <x:c r="F226" s="65" t="str">
        <x:v>Beta Logistica</x:v>
      </x:c>
      <x:c r="G226" s="65" t="str">
        <x:v>Bruno</x:v>
      </x:c>
      <x:c r="H226" s="74" t="n">
        <x:v>18260.86</x:v>
      </x:c>
      <x:c r="I226" s="74" t="n">
        <x:v>531.05</x:v>
      </x:c>
      <x:c r="J226" s="74" t="n">
        <x:v>11304.53</x:v>
      </x:c>
      <x:c r="K226" s="74" t="n">
        <x:v>17729.81</x:v>
      </x:c>
      <x:c r="L226" s="74" t="n">
        <x:v>6425.280000000001</x:v>
      </x:c>
    </x:row>
    <x:row r="227">
      <x:c r="A227" s="65" t="str">
        <x:v>TX-1226</x:v>
      </x:c>
      <x:c r="B227" s="65" t="str">
        <x:v>2025-11-03</x:v>
      </x:c>
      <x:c r="C227" s="65" t="str">
        <x:v>Tecnologia</x:v>
      </x:c>
      <x:c r="D227" s="65" t="str">
        <x:v>Parceiros</x:v>
      </x:c>
      <x:c r="E227" s="65" t="str">
        <x:v>Nordeste</x:v>
      </x:c>
      <x:c r="F227" s="65" t="str">
        <x:v>Delta Varejo</x:v>
      </x:c>
      <x:c r="G227" s="65" t="str">
        <x:v>Felipe</x:v>
      </x:c>
      <x:c r="H227" s="74" t="n">
        <x:v>21666.39</x:v>
      </x:c>
      <x:c r="I227" s="74" t="n">
        <x:v>878.93</x:v>
      </x:c>
      <x:c r="J227" s="74" t="n">
        <x:v>14424.22</x:v>
      </x:c>
      <x:c r="K227" s="74" t="n">
        <x:v>20787.46</x:v>
      </x:c>
      <x:c r="L227" s="74" t="n">
        <x:v>6363.24</x:v>
      </x:c>
    </x:row>
    <x:row r="228">
      <x:c r="A228" s="65" t="str">
        <x:v>TX-1254</x:v>
      </x:c>
      <x:c r="B228" s="65" t="str">
        <x:v>2025-11-03</x:v>
      </x:c>
      <x:c r="C228" s="65" t="str">
        <x:v>Comercial</x:v>
      </x:c>
      <x:c r="D228" s="65" t="str">
        <x:v>Direto</x:v>
      </x:c>
      <x:c r="E228" s="65" t="str">
        <x:v>Centro-Oeste</x:v>
      </x:c>
      <x:c r="F228" s="65" t="str">
        <x:v>Foco Energia</x:v>
      </x:c>
      <x:c r="G228" s="65" t="str">
        <x:v>Carla</x:v>
      </x:c>
      <x:c r="H228" s="74" t="n">
        <x:v>17229.45</x:v>
      </x:c>
      <x:c r="I228" s="74" t="n">
        <x:v>653.75</x:v>
      </x:c>
      <x:c r="J228" s="74" t="n">
        <x:v>9597.41</x:v>
      </x:c>
      <x:c r="K228" s="74" t="n">
        <x:v>16575.7</x:v>
      </x:c>
      <x:c r="L228" s="74" t="n">
        <x:v>6978.290000000001</x:v>
      </x:c>
    </x:row>
    <x:row r="229">
      <x:c r="A229" s="65" t="str">
        <x:v>TX-1242</x:v>
      </x:c>
      <x:c r="B229" s="65" t="str">
        <x:v>2025-11-04</x:v>
      </x:c>
      <x:c r="C229" s="65" t="str">
        <x:v>Marketing</x:v>
      </x:c>
      <x:c r="D229" s="65" t="str">
        <x:v>Parceiros</x:v>
      </x:c>
      <x:c r="E229" s="65" t="str">
        <x:v>Nordeste</x:v>
      </x:c>
      <x:c r="F229" s="65" t="str">
        <x:v>Crescer Educacao</x:v>
      </x:c>
      <x:c r="G229" s="65" t="str">
        <x:v>Elisa</x:v>
      </x:c>
      <x:c r="H229" s="74" t="n">
        <x:v>21350.5</x:v>
      </x:c>
      <x:c r="I229" s="74" t="n">
        <x:v>1543.49</x:v>
      </x:c>
      <x:c r="J229" s="74" t="n">
        <x:v>14043.21</x:v>
      </x:c>
      <x:c r="K229" s="74" t="n">
        <x:v>19807.01</x:v>
      </x:c>
      <x:c r="L229" s="74" t="n">
        <x:v>5763.799999999999</x:v>
      </x:c>
    </x:row>
    <x:row r="230">
      <x:c r="A230" s="65" t="str">
        <x:v>TX-1250</x:v>
      </x:c>
      <x:c r="B230" s="65" t="str">
        <x:v>2025-11-04</x:v>
      </x:c>
      <x:c r="C230" s="65" t="str">
        <x:v>Tecnologia</x:v>
      </x:c>
      <x:c r="D230" s="65" t="str">
        <x:v>Digital</x:v>
      </x:c>
      <x:c r="E230" s="65" t="str">
        <x:v>Sudeste</x:v>
      </x:c>
      <x:c r="F230" s="65" t="str">
        <x:v>Delta Varejo</x:v>
      </x:c>
      <x:c r="G230" s="65" t="str">
        <x:v>Diego</x:v>
      </x:c>
      <x:c r="H230" s="74" t="n">
        <x:v>16625.62</x:v>
      </x:c>
      <x:c r="I230" s="74" t="n">
        <x:v>913.71</x:v>
      </x:c>
      <x:c r="J230" s="74" t="n">
        <x:v>10027.96</x:v>
      </x:c>
      <x:c r="K230" s="74" t="n">
        <x:v>15711.91</x:v>
      </x:c>
      <x:c r="L230" s="74" t="n">
        <x:v>5683.950000000001</x:v>
      </x:c>
    </x:row>
    <x:row r="231">
      <x:c r="A231" s="65" t="str">
        <x:v>TX-1224</x:v>
      </x:c>
      <x:c r="B231" s="65" t="str">
        <x:v>2025-11-05</x:v>
      </x:c>
      <x:c r="C231" s="65" t="str">
        <x:v>Tecnologia</x:v>
      </x:c>
      <x:c r="D231" s="65" t="str">
        <x:v>Digital</x:v>
      </x:c>
      <x:c r="E231" s="65" t="str">
        <x:v>Sudeste</x:v>
      </x:c>
      <x:c r="F231" s="65" t="str">
        <x:v>Delta Varejo</x:v>
      </x:c>
      <x:c r="G231" s="65" t="str">
        <x:v>Elisa</x:v>
      </x:c>
      <x:c r="H231" s="74" t="n">
        <x:v>23467.52</x:v>
      </x:c>
      <x:c r="I231" s="74" t="n">
        <x:v>761.55</x:v>
      </x:c>
      <x:c r="J231" s="74" t="n">
        <x:v>13974.78</x:v>
      </x:c>
      <x:c r="K231" s="74" t="n">
        <x:v>22705.97</x:v>
      </x:c>
      <x:c r="L231" s="74" t="n">
        <x:v>8731.19</x:v>
      </x:c>
    </x:row>
    <x:row r="232">
      <x:c r="A232" s="65" t="str">
        <x:v>TX-1245</x:v>
      </x:c>
      <x:c r="B232" s="65" t="str">
        <x:v>2025-11-05</x:v>
      </x:c>
      <x:c r="C232" s="65" t="str">
        <x:v>Operacoes</x:v>
      </x:c>
      <x:c r="D232" s="65" t="str">
        <x:v>Direto</x:v>
      </x:c>
      <x:c r="E232" s="65" t="str">
        <x:v>Nordeste</x:v>
      </x:c>
      <x:c r="F232" s="65" t="str">
        <x:v>Horizonte Tech</x:v>
      </x:c>
      <x:c r="G232" s="65" t="str">
        <x:v>Elisa</x:v>
      </x:c>
      <x:c r="H232" s="74" t="n">
        <x:v>18431.67</x:v>
      </x:c>
      <x:c r="I232" s="74" t="n">
        <x:v>1362.65</x:v>
      </x:c>
      <x:c r="J232" s="74" t="n">
        <x:v>11717.91</x:v>
      </x:c>
      <x:c r="K232" s="74" t="n">
        <x:v>17069.019999999997</x:v>
      </x:c>
      <x:c r="L232" s="74" t="n">
        <x:v>5351.109999999997</x:v>
      </x:c>
    </x:row>
    <x:row r="233">
      <x:c r="A233" s="65" t="str">
        <x:v>TX-1236</x:v>
      </x:c>
      <x:c r="B233" s="65" t="str">
        <x:v>2025-11-05</x:v>
      </x:c>
      <x:c r="C233" s="65" t="str">
        <x:v>Tecnologia</x:v>
      </x:c>
      <x:c r="D233" s="65" t="str">
        <x:v>Direto</x:v>
      </x:c>
      <x:c r="E233" s="65" t="str">
        <x:v>Sudeste</x:v>
      </x:c>
      <x:c r="F233" s="65" t="str">
        <x:v>Delta Varejo</x:v>
      </x:c>
      <x:c r="G233" s="65" t="str">
        <x:v>Carla</x:v>
      </x:c>
      <x:c r="H233" s="74" t="n">
        <x:v>19831.58</x:v>
      </x:c>
      <x:c r="I233" s="74" t="n">
        <x:v>532.53</x:v>
      </x:c>
      <x:c r="J233" s="74" t="n">
        <x:v>11326.06</x:v>
      </x:c>
      <x:c r="K233" s="74" t="n">
        <x:v>19299.050000000003</x:v>
      </x:c>
      <x:c r="L233" s="74" t="n">
        <x:v>7972.990000000003</x:v>
      </x:c>
    </x:row>
    <x:row r="234">
      <x:c r="A234" s="65" t="str">
        <x:v>TX-1233</x:v>
      </x:c>
      <x:c r="B234" s="65" t="str">
        <x:v>2025-11-05</x:v>
      </x:c>
      <x:c r="C234" s="65" t="str">
        <x:v>Comercial</x:v>
      </x:c>
      <x:c r="D234" s="65" t="str">
        <x:v>Direto</x:v>
      </x:c>
      <x:c r="E234" s="65" t="str">
        <x:v>Nordeste</x:v>
      </x:c>
      <x:c r="F234" s="65" t="str">
        <x:v>Gama Servicos</x:v>
      </x:c>
      <x:c r="G234" s="65" t="str">
        <x:v>Bruno</x:v>
      </x:c>
      <x:c r="H234" s="74" t="n">
        <x:v>26122.59</x:v>
      </x:c>
      <x:c r="I234" s="74" t="n">
        <x:v>1875.54</x:v>
      </x:c>
      <x:c r="J234" s="74" t="n">
        <x:v>13378.34</x:v>
      </x:c>
      <x:c r="K234" s="74" t="n">
        <x:v>24247.05</x:v>
      </x:c>
      <x:c r="L234" s="74" t="n">
        <x:v>10868.71</x:v>
      </x:c>
    </x:row>
    <x:row r="235">
      <x:c r="A235" s="65" t="str">
        <x:v>TX-1252</x:v>
      </x:c>
      <x:c r="B235" s="65" t="str">
        <x:v>2025-11-05</x:v>
      </x:c>
      <x:c r="C235" s="65" t="str">
        <x:v>Comercial</x:v>
      </x:c>
      <x:c r="D235" s="65" t="str">
        <x:v>Digital</x:v>
      </x:c>
      <x:c r="E235" s="65" t="str">
        <x:v>Sudeste</x:v>
      </x:c>
      <x:c r="F235" s="65" t="str">
        <x:v>Horizonte Tech</x:v>
      </x:c>
      <x:c r="G235" s="65" t="str">
        <x:v>Diego</x:v>
      </x:c>
      <x:c r="H235" s="74" t="n">
        <x:v>22795.05</x:v>
      </x:c>
      <x:c r="I235" s="74" t="n">
        <x:v>968.06</x:v>
      </x:c>
      <x:c r="J235" s="74" t="n">
        <x:v>11945.87</x:v>
      </x:c>
      <x:c r="K235" s="74" t="n">
        <x:v>21826.989999999998</x:v>
      </x:c>
      <x:c r="L235" s="74" t="n">
        <x:v>9881.119999999997</x:v>
      </x:c>
    </x:row>
    <x:row r="236">
      <x:c r="A236" s="65" t="str">
        <x:v>TX-1267</x:v>
      </x:c>
      <x:c r="B236" s="65" t="str">
        <x:v>2025-11-06</x:v>
      </x:c>
      <x:c r="C236" s="65" t="str">
        <x:v>Comercial</x:v>
      </x:c>
      <x:c r="D236" s="65" t="str">
        <x:v>Parceiros</x:v>
      </x:c>
      <x:c r="E236" s="65" t="str">
        <x:v>Nordeste</x:v>
      </x:c>
      <x:c r="F236" s="65" t="str">
        <x:v>Horizonte Tech</x:v>
      </x:c>
      <x:c r="G236" s="65" t="str">
        <x:v>Diego</x:v>
      </x:c>
      <x:c r="H236" s="74" t="n">
        <x:v>19695.78</x:v>
      </x:c>
      <x:c r="I236" s="74" t="n">
        <x:v>1175.86</x:v>
      </x:c>
      <x:c r="J236" s="74" t="n">
        <x:v>10305.68</x:v>
      </x:c>
      <x:c r="K236" s="74" t="n">
        <x:v>18519.92</x:v>
      </x:c>
      <x:c r="L236" s="74" t="n">
        <x:v>8214.239999999998</x:v>
      </x:c>
    </x:row>
    <x:row r="237">
      <x:c r="A237" s="65" t="str">
        <x:v>TX-1225</x:v>
      </x:c>
      <x:c r="B237" s="65" t="str">
        <x:v>2025-11-06</x:v>
      </x:c>
      <x:c r="C237" s="65" t="str">
        <x:v>Operacoes</x:v>
      </x:c>
      <x:c r="D237" s="65" t="str">
        <x:v>Digital</x:v>
      </x:c>
      <x:c r="E237" s="65" t="str">
        <x:v>Sudeste</x:v>
      </x:c>
      <x:c r="F237" s="65" t="str">
        <x:v>Evo Saude</x:v>
      </x:c>
      <x:c r="G237" s="65" t="str">
        <x:v>Carla</x:v>
      </x:c>
      <x:c r="H237" s="74" t="n">
        <x:v>21818.65</x:v>
      </x:c>
      <x:c r="I237" s="74" t="n">
        <x:v>1648.77</x:v>
      </x:c>
      <x:c r="J237" s="74" t="n">
        <x:v>14385.66</x:v>
      </x:c>
      <x:c r="K237" s="74" t="n">
        <x:v>20169.88</x:v>
      </x:c>
      <x:c r="L237" s="74" t="n">
        <x:v>5784.220000000001</x:v>
      </x:c>
    </x:row>
    <x:row r="238">
      <x:c r="A238" s="65" t="str">
        <x:v>TX-1234</x:v>
      </x:c>
      <x:c r="B238" s="65" t="str">
        <x:v>2025-11-07</x:v>
      </x:c>
      <x:c r="C238" s="65" t="str">
        <x:v>Tecnologia</x:v>
      </x:c>
      <x:c r="D238" s="65" t="str">
        <x:v>Direto</x:v>
      </x:c>
      <x:c r="E238" s="65" t="str">
        <x:v>Sul</x:v>
      </x:c>
      <x:c r="F238" s="65" t="str">
        <x:v>Beta Logistica</x:v>
      </x:c>
      <x:c r="G238" s="65" t="str">
        <x:v>Elisa</x:v>
      </x:c>
      <x:c r="H238" s="74" t="n">
        <x:v>16766.09</x:v>
      </x:c>
      <x:c r="I238" s="74" t="n">
        <x:v>340.68</x:v>
      </x:c>
      <x:c r="J238" s="74" t="n">
        <x:v>10110.36</x:v>
      </x:c>
      <x:c r="K238" s="74" t="n">
        <x:v>16425.41</x:v>
      </x:c>
      <x:c r="L238" s="74" t="n">
        <x:v>6315.049999999999</x:v>
      </x:c>
    </x:row>
    <x:row r="239">
      <x:c r="A239" s="65" t="str">
        <x:v>TX-1247</x:v>
      </x:c>
      <x:c r="B239" s="65" t="str">
        <x:v>2025-11-07</x:v>
      </x:c>
      <x:c r="C239" s="65" t="str">
        <x:v>Operacoes</x:v>
      </x:c>
      <x:c r="D239" s="65" t="str">
        <x:v>Digital</x:v>
      </x:c>
      <x:c r="E239" s="65" t="str">
        <x:v>Sudeste</x:v>
      </x:c>
      <x:c r="F239" s="65" t="str">
        <x:v>Foco Energia</x:v>
      </x:c>
      <x:c r="G239" s="65" t="str">
        <x:v>Ana</x:v>
      </x:c>
      <x:c r="H239" s="74" t="n">
        <x:v>20283.48</x:v>
      </x:c>
      <x:c r="I239" s="74" t="n">
        <x:v>739.99</x:v>
      </x:c>
      <x:c r="J239" s="74" t="n">
        <x:v>14195.22</x:v>
      </x:c>
      <x:c r="K239" s="74" t="n">
        <x:v>19543.489999999998</x:v>
      </x:c>
      <x:c r="L239" s="74" t="n">
        <x:v>5348.269999999999</x:v>
      </x:c>
    </x:row>
    <x:row r="240">
      <x:c r="A240" s="65" t="str">
        <x:v>TX-1263</x:v>
      </x:c>
      <x:c r="B240" s="65" t="str">
        <x:v>2025-11-08</x:v>
      </x:c>
      <x:c r="C240" s="65" t="str">
        <x:v>Operacoes</x:v>
      </x:c>
      <x:c r="D240" s="65" t="str">
        <x:v>Digital</x:v>
      </x:c>
      <x:c r="E240" s="65" t="str">
        <x:v>Centro-Oeste</x:v>
      </x:c>
      <x:c r="F240" s="65" t="str">
        <x:v>Horizonte Tech</x:v>
      </x:c>
      <x:c r="G240" s="65" t="str">
        <x:v>Ana</x:v>
      </x:c>
      <x:c r="H240" s="74" t="n">
        <x:v>12848.56</x:v>
      </x:c>
      <x:c r="I240" s="74" t="n">
        <x:v>673.85</x:v>
      </x:c>
      <x:c r="J240" s="74" t="n">
        <x:v>8289.6</x:v>
      </x:c>
      <x:c r="K240" s="74" t="n">
        <x:v>12174.71</x:v>
      </x:c>
      <x:c r="L240" s="74" t="n">
        <x:v>3885.1099999999988</x:v>
      </x:c>
    </x:row>
    <x:row r="241">
      <x:c r="A241" s="65" t="str">
        <x:v>TX-1258</x:v>
      </x:c>
      <x:c r="B241" s="65" t="str">
        <x:v>2025-11-08</x:v>
      </x:c>
      <x:c r="C241" s="65" t="str">
        <x:v>Operacoes</x:v>
      </x:c>
      <x:c r="D241" s="65" t="str">
        <x:v>Parceiros</x:v>
      </x:c>
      <x:c r="E241" s="65" t="str">
        <x:v>Nordeste</x:v>
      </x:c>
      <x:c r="F241" s="65" t="str">
        <x:v>Evo Saude</x:v>
      </x:c>
      <x:c r="G241" s="65" t="str">
        <x:v>Diego</x:v>
      </x:c>
      <x:c r="H241" s="74" t="n">
        <x:v>17234.48</x:v>
      </x:c>
      <x:c r="I241" s="74" t="n">
        <x:v>314.51</x:v>
      </x:c>
      <x:c r="J241" s="74" t="n">
        <x:v>12305.94</x:v>
      </x:c>
      <x:c r="K241" s="74" t="n">
        <x:v>16919.97</x:v>
      </x:c>
      <x:c r="L241" s="74" t="n">
        <x:v>4614.030000000001</x:v>
      </x:c>
    </x:row>
    <x:row r="242">
      <x:c r="A242" s="65" t="str">
        <x:v>TX-1223</x:v>
      </x:c>
      <x:c r="B242" s="65" t="str">
        <x:v>2025-11-09</x:v>
      </x:c>
      <x:c r="C242" s="65" t="str">
        <x:v>Comercial</x:v>
      </x:c>
      <x:c r="D242" s="65" t="str">
        <x:v>Digital</x:v>
      </x:c>
      <x:c r="E242" s="65" t="str">
        <x:v>Sul</x:v>
      </x:c>
      <x:c r="F242" s="65" t="str">
        <x:v>Crescer Educacao</x:v>
      </x:c>
      <x:c r="G242" s="65" t="str">
        <x:v>Elisa</x:v>
      </x:c>
      <x:c r="H242" s="74" t="n">
        <x:v>32453.24</x:v>
      </x:c>
      <x:c r="I242" s="74" t="n">
        <x:v>1319.19</x:v>
      </x:c>
      <x:c r="J242" s="74" t="n">
        <x:v>16679.18</x:v>
      </x:c>
      <x:c r="K242" s="74" t="n">
        <x:v>31134.050000000003</x:v>
      </x:c>
      <x:c r="L242" s="74" t="n">
        <x:v>14454.870000000003</x:v>
      </x:c>
    </x:row>
    <x:row r="243">
      <x:c r="A243" s="65" t="str">
        <x:v>TX-1269</x:v>
      </x:c>
      <x:c r="B243" s="65" t="str">
        <x:v>2025-11-09</x:v>
      </x:c>
      <x:c r="C243" s="65" t="str">
        <x:v>Tecnologia</x:v>
      </x:c>
      <x:c r="D243" s="65" t="str">
        <x:v>Digital</x:v>
      </x:c>
      <x:c r="E243" s="65" t="str">
        <x:v>Centro-Oeste</x:v>
      </x:c>
      <x:c r="F243" s="65" t="str">
        <x:v>Gama Servicos</x:v>
      </x:c>
      <x:c r="G243" s="65" t="str">
        <x:v>Bruno</x:v>
      </x:c>
      <x:c r="H243" s="74" t="n">
        <x:v>21553.46</x:v>
      </x:c>
      <x:c r="I243" s="74" t="n">
        <x:v>1682.55</x:v>
      </x:c>
      <x:c r="J243" s="74" t="n">
        <x:v>12257.07</x:v>
      </x:c>
      <x:c r="K243" s="74" t="n">
        <x:v>19870.91</x:v>
      </x:c>
      <x:c r="L243" s="74" t="n">
        <x:v>7613.84</x:v>
      </x:c>
    </x:row>
    <x:row r="244">
      <x:c r="A244" s="65" t="str">
        <x:v>TX-1237</x:v>
      </x:c>
      <x:c r="B244" s="65" t="str">
        <x:v>2025-11-10</x:v>
      </x:c>
      <x:c r="C244" s="65" t="str">
        <x:v>Comercial</x:v>
      </x:c>
      <x:c r="D244" s="65" t="str">
        <x:v>Parceiros</x:v>
      </x:c>
      <x:c r="E244" s="65" t="str">
        <x:v>Sudeste</x:v>
      </x:c>
      <x:c r="F244" s="65" t="str">
        <x:v>Alfa Industria</x:v>
      </x:c>
      <x:c r="G244" s="65" t="str">
        <x:v>Carla</x:v>
      </x:c>
      <x:c r="H244" s="74" t="n">
        <x:v>23818.09</x:v>
      </x:c>
      <x:c r="I244" s="74" t="n">
        <x:v>761.45</x:v>
      </x:c>
      <x:c r="J244" s="74" t="n">
        <x:v>12835.43</x:v>
      </x:c>
      <x:c r="K244" s="74" t="n">
        <x:v>23056.64</x:v>
      </x:c>
      <x:c r="L244" s="74" t="n">
        <x:v>10221.21</x:v>
      </x:c>
    </x:row>
    <x:row r="245">
      <x:c r="A245" s="65" t="str">
        <x:v>TX-1216</x:v>
      </x:c>
      <x:c r="B245" s="65" t="str">
        <x:v>2025-11-10</x:v>
      </x:c>
      <x:c r="C245" s="65" t="str">
        <x:v>Operacoes</x:v>
      </x:c>
      <x:c r="D245" s="65" t="str">
        <x:v>Digital</x:v>
      </x:c>
      <x:c r="E245" s="65" t="str">
        <x:v>Nordeste</x:v>
      </x:c>
      <x:c r="F245" s="65" t="str">
        <x:v>Beta Logistica</x:v>
      </x:c>
      <x:c r="G245" s="65" t="str">
        <x:v>Felipe</x:v>
      </x:c>
      <x:c r="H245" s="74" t="n">
        <x:v>13229.68</x:v>
      </x:c>
      <x:c r="I245" s="74" t="n">
        <x:v>1036.05</x:v>
      </x:c>
      <x:c r="J245" s="74" t="n">
        <x:v>8290.19</x:v>
      </x:c>
      <x:c r="K245" s="74" t="n">
        <x:v>12193.630000000001</x:v>
      </x:c>
      <x:c r="L245" s="74" t="n">
        <x:v>3903.4400000000005</x:v>
      </x:c>
    </x:row>
    <x:row r="246">
      <x:c r="A246" s="65" t="str">
        <x:v>TX-1227</x:v>
      </x:c>
      <x:c r="B246" s="65" t="str">
        <x:v>2025-11-11</x:v>
      </x:c>
      <x:c r="C246" s="65" t="str">
        <x:v>Comercial</x:v>
      </x:c>
      <x:c r="D246" s="65" t="str">
        <x:v>Parceiros</x:v>
      </x:c>
      <x:c r="E246" s="65" t="str">
        <x:v>Sudeste</x:v>
      </x:c>
      <x:c r="F246" s="65" t="str">
        <x:v>Evo Saude</x:v>
      </x:c>
      <x:c r="G246" s="65" t="str">
        <x:v>Felipe</x:v>
      </x:c>
      <x:c r="H246" s="74" t="n">
        <x:v>18697.4</x:v>
      </x:c>
      <x:c r="I246" s="74" t="n">
        <x:v>485.34</x:v>
      </x:c>
      <x:c r="J246" s="74" t="n">
        <x:v>10264.33</x:v>
      </x:c>
      <x:c r="K246" s="74" t="n">
        <x:v>18212.06</x:v>
      </x:c>
      <x:c r="L246" s="74" t="n">
        <x:v>7947.730000000001</x:v>
      </x:c>
    </x:row>
    <x:row r="247">
      <x:c r="A247" s="65" t="str">
        <x:v>TX-1251</x:v>
      </x:c>
      <x:c r="B247" s="65" t="str">
        <x:v>2025-11-11</x:v>
      </x:c>
      <x:c r="C247" s="65" t="str">
        <x:v>Marketing</x:v>
      </x:c>
      <x:c r="D247" s="65" t="str">
        <x:v>Digital</x:v>
      </x:c>
      <x:c r="E247" s="65" t="str">
        <x:v>Sudeste</x:v>
      </x:c>
      <x:c r="F247" s="65" t="str">
        <x:v>Delta Varejo</x:v>
      </x:c>
      <x:c r="G247" s="65" t="str">
        <x:v>Carla</x:v>
      </x:c>
      <x:c r="H247" s="74" t="n">
        <x:v>21583.82</x:v>
      </x:c>
      <x:c r="I247" s="74" t="n">
        <x:v>1318.49</x:v>
      </x:c>
      <x:c r="J247" s="74" t="n">
        <x:v>14821.52</x:v>
      </x:c>
      <x:c r="K247" s="74" t="n">
        <x:v>20265.329999999998</x:v>
      </x:c>
      <x:c r="L247" s="74" t="n">
        <x:v>5443.809999999998</x:v>
      </x:c>
    </x:row>
    <x:row r="248">
      <x:c r="A248" s="65" t="str">
        <x:v>TX-1266</x:v>
      </x:c>
      <x:c r="B248" s="65" t="str">
        <x:v>2025-11-11</x:v>
      </x:c>
      <x:c r="C248" s="65" t="str">
        <x:v>Marketing</x:v>
      </x:c>
      <x:c r="D248" s="65" t="str">
        <x:v>Digital</x:v>
      </x:c>
      <x:c r="E248" s="65" t="str">
        <x:v>Centro-Oeste</x:v>
      </x:c>
      <x:c r="F248" s="65" t="str">
        <x:v>Beta Logistica</x:v>
      </x:c>
      <x:c r="G248" s="65" t="str">
        <x:v>Elisa</x:v>
      </x:c>
      <x:c r="H248" s="74" t="n">
        <x:v>13567.17</x:v>
      </x:c>
      <x:c r="I248" s="74" t="n">
        <x:v>340.74</x:v>
      </x:c>
      <x:c r="J248" s="74" t="n">
        <x:v>9519.65</x:v>
      </x:c>
      <x:c r="K248" s="74" t="n">
        <x:v>13226.43</x:v>
      </x:c>
      <x:c r="L248" s="74" t="n">
        <x:v>3706.7800000000007</x:v>
      </x:c>
    </x:row>
    <x:row r="249">
      <x:c r="A249" s="65" t="str">
        <x:v>TX-1240</x:v>
      </x:c>
      <x:c r="B249" s="65" t="str">
        <x:v>2025-11-12</x:v>
      </x:c>
      <x:c r="C249" s="65" t="str">
        <x:v>Tecnologia</x:v>
      </x:c>
      <x:c r="D249" s="65" t="str">
        <x:v>Parceiros</x:v>
      </x:c>
      <x:c r="E249" s="65" t="str">
        <x:v>Sul</x:v>
      </x:c>
      <x:c r="F249" s="65" t="str">
        <x:v>Delta Varejo</x:v>
      </x:c>
      <x:c r="G249" s="65" t="str">
        <x:v>Carla</x:v>
      </x:c>
      <x:c r="H249" s="74" t="n">
        <x:v>26537.88</x:v>
      </x:c>
      <x:c r="I249" s="74" t="n">
        <x:v>294.74</x:v>
      </x:c>
      <x:c r="J249" s="74" t="n">
        <x:v>17671.27</x:v>
      </x:c>
      <x:c r="K249" s="74" t="n">
        <x:v>26243.14</x:v>
      </x:c>
      <x:c r="L249" s="74" t="n">
        <x:v>8571.869999999999</x:v>
      </x:c>
    </x:row>
    <x:row r="250">
      <x:c r="A250" s="65" t="str">
        <x:v>TX-1264</x:v>
      </x:c>
      <x:c r="B250" s="65" t="str">
        <x:v>2025-11-12</x:v>
      </x:c>
      <x:c r="C250" s="65" t="str">
        <x:v>Comercial</x:v>
      </x:c>
      <x:c r="D250" s="65" t="str">
        <x:v>Direto</x:v>
      </x:c>
      <x:c r="E250" s="65" t="str">
        <x:v>Sul</x:v>
      </x:c>
      <x:c r="F250" s="65" t="str">
        <x:v>Crescer Educacao</x:v>
      </x:c>
      <x:c r="G250" s="65" t="str">
        <x:v>Elisa</x:v>
      </x:c>
      <x:c r="H250" s="74" t="n">
        <x:v>20085.44</x:v>
      </x:c>
      <x:c r="I250" s="74" t="n">
        <x:v>993.16</x:v>
      </x:c>
      <x:c r="J250" s="74" t="n">
        <x:v>10105.34</x:v>
      </x:c>
      <x:c r="K250" s="74" t="n">
        <x:v>19092.28</x:v>
      </x:c>
      <x:c r="L250" s="74" t="n">
        <x:v>8986.939999999999</x:v>
      </x:c>
    </x:row>
    <x:row r="251">
      <x:c r="A251" s="65" t="str">
        <x:v>TX-1235</x:v>
      </x:c>
      <x:c r="B251" s="65" t="str">
        <x:v>2025-11-14</x:v>
      </x:c>
      <x:c r="C251" s="65" t="str">
        <x:v>Operacoes</x:v>
      </x:c>
      <x:c r="D251" s="65" t="str">
        <x:v>Parceiros</x:v>
      </x:c>
      <x:c r="E251" s="65" t="str">
        <x:v>Nordeste</x:v>
      </x:c>
      <x:c r="F251" s="65" t="str">
        <x:v>Alfa Industria</x:v>
      </x:c>
      <x:c r="G251" s="65" t="str">
        <x:v>Elisa</x:v>
      </x:c>
      <x:c r="H251" s="74" t="n">
        <x:v>17642.01</x:v>
      </x:c>
      <x:c r="I251" s="74" t="n">
        <x:v>770.58</x:v>
      </x:c>
      <x:c r="J251" s="74" t="n">
        <x:v>11505.14</x:v>
      </x:c>
      <x:c r="K251" s="74" t="n">
        <x:v>16871.429999999997</x:v>
      </x:c>
      <x:c r="L251" s="74" t="n">
        <x:v>5366.289999999997</x:v>
      </x:c>
    </x:row>
    <x:row r="252">
      <x:c r="A252" s="65" t="str">
        <x:v>TX-1259</x:v>
      </x:c>
      <x:c r="B252" s="65" t="str">
        <x:v>2025-11-15</x:v>
      </x:c>
      <x:c r="C252" s="65" t="str">
        <x:v>Tecnologia</x:v>
      </x:c>
      <x:c r="D252" s="65" t="str">
        <x:v>Digital</x:v>
      </x:c>
      <x:c r="E252" s="65" t="str">
        <x:v>Nordeste</x:v>
      </x:c>
      <x:c r="F252" s="65" t="str">
        <x:v>Crescer Educacao</x:v>
      </x:c>
      <x:c r="G252" s="65" t="str">
        <x:v>Elisa</x:v>
      </x:c>
      <x:c r="H252" s="74" t="n">
        <x:v>19345.77</x:v>
      </x:c>
      <x:c r="I252" s="74" t="n">
        <x:v>1430.05</x:v>
      </x:c>
      <x:c r="J252" s="74" t="n">
        <x:v>10537.63</x:v>
      </x:c>
      <x:c r="K252" s="74" t="n">
        <x:v>17915.72</x:v>
      </x:c>
      <x:c r="L252" s="74" t="n">
        <x:v>7378.090000000002</x:v>
      </x:c>
    </x:row>
    <x:row r="253">
      <x:c r="A253" s="65" t="str">
        <x:v>TX-1241</x:v>
      </x:c>
      <x:c r="B253" s="65" t="str">
        <x:v>2025-11-15</x:v>
      </x:c>
      <x:c r="C253" s="65" t="str">
        <x:v>Tecnologia</x:v>
      </x:c>
      <x:c r="D253" s="65" t="str">
        <x:v>Direto</x:v>
      </x:c>
      <x:c r="E253" s="65" t="str">
        <x:v>Centro-Oeste</x:v>
      </x:c>
      <x:c r="F253" s="65" t="str">
        <x:v>Alfa Industria</x:v>
      </x:c>
      <x:c r="G253" s="65" t="str">
        <x:v>Felipe</x:v>
      </x:c>
      <x:c r="H253" s="74" t="n">
        <x:v>17557.15</x:v>
      </x:c>
      <x:c r="I253" s="74" t="n">
        <x:v>309.11</x:v>
      </x:c>
      <x:c r="J253" s="74" t="n">
        <x:v>11107.49</x:v>
      </x:c>
      <x:c r="K253" s="74" t="n">
        <x:v>17248.04</x:v>
      </x:c>
      <x:c r="L253" s="74" t="n">
        <x:v>6140.550000000001</x:v>
      </x:c>
    </x:row>
    <x:row r="254">
      <x:c r="A254" s="65" t="str">
        <x:v>TX-1262</x:v>
      </x:c>
      <x:c r="B254" s="65" t="str">
        <x:v>2025-11-16</x:v>
      </x:c>
      <x:c r="C254" s="65" t="str">
        <x:v>Marketing</x:v>
      </x:c>
      <x:c r="D254" s="65" t="str">
        <x:v>Digital</x:v>
      </x:c>
      <x:c r="E254" s="65" t="str">
        <x:v>Sul</x:v>
      </x:c>
      <x:c r="F254" s="65" t="str">
        <x:v>Horizonte Tech</x:v>
      </x:c>
      <x:c r="G254" s="65" t="str">
        <x:v>Elisa</x:v>
      </x:c>
      <x:c r="H254" s="74" t="n">
        <x:v>16659.73</x:v>
      </x:c>
      <x:c r="I254" s="74" t="n">
        <x:v>1085.31</x:v>
      </x:c>
      <x:c r="J254" s="74" t="n">
        <x:v>11404.1</x:v>
      </x:c>
      <x:c r="K254" s="74" t="n">
        <x:v>15574.42</x:v>
      </x:c>
      <x:c r="L254" s="74" t="n">
        <x:v>4170.32</x:v>
      </x:c>
    </x:row>
    <x:row r="255">
      <x:c r="A255" s="65" t="str">
        <x:v>TX-1256</x:v>
      </x:c>
      <x:c r="B255" s="65" t="str">
        <x:v>2025-11-16</x:v>
      </x:c>
      <x:c r="C255" s="65" t="str">
        <x:v>Marketing</x:v>
      </x:c>
      <x:c r="D255" s="65" t="str">
        <x:v>Direto</x:v>
      </x:c>
      <x:c r="E255" s="65" t="str">
        <x:v>Sudeste</x:v>
      </x:c>
      <x:c r="F255" s="65" t="str">
        <x:v>Gama Servicos</x:v>
      </x:c>
      <x:c r="G255" s="65" t="str">
        <x:v>Ana</x:v>
      </x:c>
      <x:c r="H255" s="74" t="n">
        <x:v>10952.77</x:v>
      </x:c>
      <x:c r="I255" s="74" t="n">
        <x:v>584.05</x:v>
      </x:c>
      <x:c r="J255" s="74" t="n">
        <x:v>7531.34</x:v>
      </x:c>
      <x:c r="K255" s="74" t="n">
        <x:v>10368.720000000001</x:v>
      </x:c>
      <x:c r="L255" s="74" t="n">
        <x:v>2837.380000000001</x:v>
      </x:c>
    </x:row>
    <x:row r="256">
      <x:c r="A256" s="65" t="str">
        <x:v>TX-1230</x:v>
      </x:c>
      <x:c r="B256" s="65" t="str">
        <x:v>2025-11-16</x:v>
      </x:c>
      <x:c r="C256" s="65" t="str">
        <x:v>Operacoes</x:v>
      </x:c>
      <x:c r="D256" s="65" t="str">
        <x:v>Digital</x:v>
      </x:c>
      <x:c r="E256" s="65" t="str">
        <x:v>Sul</x:v>
      </x:c>
      <x:c r="F256" s="65" t="str">
        <x:v>Evo Saude</x:v>
      </x:c>
      <x:c r="G256" s="65" t="str">
        <x:v>Ana</x:v>
      </x:c>
      <x:c r="H256" s="74" t="n">
        <x:v>16232.23</x:v>
      </x:c>
      <x:c r="I256" s="74" t="n">
        <x:v>583.77</x:v>
      </x:c>
      <x:c r="J256" s="74" t="n">
        <x:v>10617.6</x:v>
      </x:c>
      <x:c r="K256" s="74" t="n">
        <x:v>15648.46</x:v>
      </x:c>
      <x:c r="L256" s="74" t="n">
        <x:v>5030.859999999999</x:v>
      </x:c>
    </x:row>
    <x:row r="257">
      <x:c r="A257" s="65" t="str">
        <x:v>TX-1243</x:v>
      </x:c>
      <x:c r="B257" s="65" t="str">
        <x:v>2025-11-16</x:v>
      </x:c>
      <x:c r="C257" s="65" t="str">
        <x:v>Marketing</x:v>
      </x:c>
      <x:c r="D257" s="65" t="str">
        <x:v>Direto</x:v>
      </x:c>
      <x:c r="E257" s="65" t="str">
        <x:v>Sudeste</x:v>
      </x:c>
      <x:c r="F257" s="65" t="str">
        <x:v>Beta Logistica</x:v>
      </x:c>
      <x:c r="G257" s="65" t="str">
        <x:v>Bruno</x:v>
      </x:c>
      <x:c r="H257" s="74" t="n">
        <x:v>8821.5</x:v>
      </x:c>
      <x:c r="I257" s="74" t="n">
        <x:v>432.17</x:v>
      </x:c>
      <x:c r="J257" s="74" t="n">
        <x:v>6008.61</x:v>
      </x:c>
      <x:c r="K257" s="74" t="n">
        <x:v>8389.33</x:v>
      </x:c>
      <x:c r="L257" s="74" t="n">
        <x:v>2380.7200000000003</x:v>
      </x:c>
    </x:row>
    <x:row r="258">
      <x:c r="A258" s="65" t="str">
        <x:v>TX-1239</x:v>
      </x:c>
      <x:c r="B258" s="65" t="str">
        <x:v>2025-11-17</x:v>
      </x:c>
      <x:c r="C258" s="65" t="str">
        <x:v>Marketing</x:v>
      </x:c>
      <x:c r="D258" s="65" t="str">
        <x:v>Digital</x:v>
      </x:c>
      <x:c r="E258" s="65" t="str">
        <x:v>Centro-Oeste</x:v>
      </x:c>
      <x:c r="F258" s="65" t="str">
        <x:v>Evo Saude</x:v>
      </x:c>
      <x:c r="G258" s="65" t="str">
        <x:v>Elisa</x:v>
      </x:c>
      <x:c r="H258" s="74" t="n">
        <x:v>10769.85</x:v>
      </x:c>
      <x:c r="I258" s="74" t="n">
        <x:v>570.22</x:v>
      </x:c>
      <x:c r="J258" s="74" t="n">
        <x:v>7505.43</x:v>
      </x:c>
      <x:c r="K258" s="74" t="n">
        <x:v>10199.630000000001</x:v>
      </x:c>
      <x:c r="L258" s="74" t="n">
        <x:v>2694.2000000000007</x:v>
      </x:c>
    </x:row>
    <x:row r="259">
      <x:c r="A259" s="65" t="str">
        <x:v>TX-1222</x:v>
      </x:c>
      <x:c r="B259" s="65" t="str">
        <x:v>2025-11-17</x:v>
      </x:c>
      <x:c r="C259" s="65" t="str">
        <x:v>Operacoes</x:v>
      </x:c>
      <x:c r="D259" s="65" t="str">
        <x:v>Digital</x:v>
      </x:c>
      <x:c r="E259" s="65" t="str">
        <x:v>Nordeste</x:v>
      </x:c>
      <x:c r="F259" s="65" t="str">
        <x:v>Horizonte Tech</x:v>
      </x:c>
      <x:c r="G259" s="65" t="str">
        <x:v>Ana</x:v>
      </x:c>
      <x:c r="H259" s="74" t="n">
        <x:v>20935.91</x:v>
      </x:c>
      <x:c r="I259" s="74" t="n">
        <x:v>1382.63</x:v>
      </x:c>
      <x:c r="J259" s="74" t="n">
        <x:v>12401.8</x:v>
      </x:c>
      <x:c r="K259" s="74" t="n">
        <x:v>19553.28</x:v>
      </x:c>
      <x:c r="L259" s="74" t="n">
        <x:v>7151.48</x:v>
      </x:c>
    </x:row>
    <x:row r="260">
      <x:c r="A260" s="65" t="str">
        <x:v>TX-1231</x:v>
      </x:c>
      <x:c r="B260" s="65" t="str">
        <x:v>2025-11-19</x:v>
      </x:c>
      <x:c r="C260" s="65" t="str">
        <x:v>Tecnologia</x:v>
      </x:c>
      <x:c r="D260" s="65" t="str">
        <x:v>Parceiros</x:v>
      </x:c>
      <x:c r="E260" s="65" t="str">
        <x:v>Sudeste</x:v>
      </x:c>
      <x:c r="F260" s="65" t="str">
        <x:v>Crescer Educacao</x:v>
      </x:c>
      <x:c r="G260" s="65" t="str">
        <x:v>Diego</x:v>
      </x:c>
      <x:c r="H260" s="74" t="n">
        <x:v>16560.38</x:v>
      </x:c>
      <x:c r="I260" s="74" t="n">
        <x:v>1029.46</x:v>
      </x:c>
      <x:c r="J260" s="74" t="n">
        <x:v>9586.66</x:v>
      </x:c>
      <x:c r="K260" s="74" t="n">
        <x:v>15530.920000000002</x:v>
      </x:c>
      <x:c r="L260" s="74" t="n">
        <x:v>5944.260000000002</x:v>
      </x:c>
    </x:row>
    <x:row r="261">
      <x:c r="A261" s="65" t="str">
        <x:v>TX-1229</x:v>
      </x:c>
      <x:c r="B261" s="65" t="str">
        <x:v>2025-11-20</x:v>
      </x:c>
      <x:c r="C261" s="65" t="str">
        <x:v>Tecnologia</x:v>
      </x:c>
      <x:c r="D261" s="65" t="str">
        <x:v>Direto</x:v>
      </x:c>
      <x:c r="E261" s="65" t="str">
        <x:v>Sul</x:v>
      </x:c>
      <x:c r="F261" s="65" t="str">
        <x:v>Delta Varejo</x:v>
      </x:c>
      <x:c r="G261" s="65" t="str">
        <x:v>Diego</x:v>
      </x:c>
      <x:c r="H261" s="74" t="n">
        <x:v>21549.5</x:v>
      </x:c>
      <x:c r="I261" s="74" t="n">
        <x:v>1507.09</x:v>
      </x:c>
      <x:c r="J261" s="74" t="n">
        <x:v>12380.83</x:v>
      </x:c>
      <x:c r="K261" s="74" t="n">
        <x:v>20042.41</x:v>
      </x:c>
      <x:c r="L261" s="74" t="n">
        <x:v>7661.58</x:v>
      </x:c>
    </x:row>
    <x:row r="262">
      <x:c r="A262" s="65" t="str">
        <x:v>TX-1219</x:v>
      </x:c>
      <x:c r="B262" s="65" t="str">
        <x:v>2025-11-20</x:v>
      </x:c>
      <x:c r="C262" s="65" t="str">
        <x:v>Tecnologia</x:v>
      </x:c>
      <x:c r="D262" s="65" t="str">
        <x:v>Direto</x:v>
      </x:c>
      <x:c r="E262" s="65" t="str">
        <x:v>Sudeste</x:v>
      </x:c>
      <x:c r="F262" s="65" t="str">
        <x:v>Gama Servicos</x:v>
      </x:c>
      <x:c r="G262" s="65" t="str">
        <x:v>Bruno</x:v>
      </x:c>
      <x:c r="H262" s="74" t="n">
        <x:v>19430.23</x:v>
      </x:c>
      <x:c r="I262" s="74" t="n">
        <x:v>1026.99</x:v>
      </x:c>
      <x:c r="J262" s="74" t="n">
        <x:v>11659.63</x:v>
      </x:c>
      <x:c r="K262" s="74" t="n">
        <x:v>18403.239999999998</x:v>
      </x:c>
      <x:c r="L262" s="74" t="n">
        <x:v>6743.609999999999</x:v>
      </x:c>
    </x:row>
    <x:row r="263">
      <x:c r="A263" s="65" t="str">
        <x:v>TX-1255</x:v>
      </x:c>
      <x:c r="B263" s="65" t="str">
        <x:v>2025-11-20</x:v>
      </x:c>
      <x:c r="C263" s="65" t="str">
        <x:v>Comercial</x:v>
      </x:c>
      <x:c r="D263" s="65" t="str">
        <x:v>Direto</x:v>
      </x:c>
      <x:c r="E263" s="65" t="str">
        <x:v>Sudeste</x:v>
      </x:c>
      <x:c r="F263" s="65" t="str">
        <x:v>Evo Saude</x:v>
      </x:c>
      <x:c r="G263" s="65" t="str">
        <x:v>Ana</x:v>
      </x:c>
      <x:c r="H263" s="74" t="n">
        <x:v>24713.2</x:v>
      </x:c>
      <x:c r="I263" s="74" t="n">
        <x:v>1719.29</x:v>
      </x:c>
      <x:c r="J263" s="74" t="n">
        <x:v>14224.2</x:v>
      </x:c>
      <x:c r="K263" s="74" t="n">
        <x:v>22993.91</x:v>
      </x:c>
      <x:c r="L263" s="74" t="n">
        <x:v>8769.71</x:v>
      </x:c>
    </x:row>
    <x:row r="264">
      <x:c r="A264" s="65" t="str">
        <x:v>TX-1217</x:v>
      </x:c>
      <x:c r="B264" s="65" t="str">
        <x:v>2025-11-20</x:v>
      </x:c>
      <x:c r="C264" s="65" t="str">
        <x:v>Tecnologia</x:v>
      </x:c>
      <x:c r="D264" s="65" t="str">
        <x:v>Parceiros</x:v>
      </x:c>
      <x:c r="E264" s="65" t="str">
        <x:v>Nordeste</x:v>
      </x:c>
      <x:c r="F264" s="65" t="str">
        <x:v>Gama Servicos</x:v>
      </x:c>
      <x:c r="G264" s="65" t="str">
        <x:v>Carla</x:v>
      </x:c>
      <x:c r="H264" s="74" t="n">
        <x:v>22657.09</x:v>
      </x:c>
      <x:c r="I264" s="74" t="n">
        <x:v>1652.26</x:v>
      </x:c>
      <x:c r="J264" s="74" t="n">
        <x:v>12249.17</x:v>
      </x:c>
      <x:c r="K264" s="74" t="n">
        <x:v>21004.83</x:v>
      </x:c>
      <x:c r="L264" s="74" t="n">
        <x:v>8755.660000000002</x:v>
      </x:c>
    </x:row>
    <x:row r="265">
      <x:c r="A265" s="65" t="str">
        <x:v>TX-1253</x:v>
      </x:c>
      <x:c r="B265" s="65" t="str">
        <x:v>2025-11-21</x:v>
      </x:c>
      <x:c r="C265" s="65" t="str">
        <x:v>Comercial</x:v>
      </x:c>
      <x:c r="D265" s="65" t="str">
        <x:v>Direto</x:v>
      </x:c>
      <x:c r="E265" s="65" t="str">
        <x:v>Centro-Oeste</x:v>
      </x:c>
      <x:c r="F265" s="65" t="str">
        <x:v>Evo Saude</x:v>
      </x:c>
      <x:c r="G265" s="65" t="str">
        <x:v>Carla</x:v>
      </x:c>
      <x:c r="H265" s="74" t="n">
        <x:v>23022.98</x:v>
      </x:c>
      <x:c r="I265" s="74" t="n">
        <x:v>640.75</x:v>
      </x:c>
      <x:c r="J265" s="74" t="n">
        <x:v>12490.07</x:v>
      </x:c>
      <x:c r="K265" s="74" t="n">
        <x:v>22382.23</x:v>
      </x:c>
      <x:c r="L265" s="74" t="n">
        <x:v>9892.16</x:v>
      </x:c>
    </x:row>
    <x:row r="266">
      <x:c r="A266" s="65" t="str">
        <x:v>TX-1228</x:v>
      </x:c>
      <x:c r="B266" s="65" t="str">
        <x:v>2025-11-21</x:v>
      </x:c>
      <x:c r="C266" s="65" t="str">
        <x:v>Tecnologia</x:v>
      </x:c>
      <x:c r="D266" s="65" t="str">
        <x:v>Digital</x:v>
      </x:c>
      <x:c r="E266" s="65" t="str">
        <x:v>Nordeste</x:v>
      </x:c>
      <x:c r="F266" s="65" t="str">
        <x:v>Foco Energia</x:v>
      </x:c>
      <x:c r="G266" s="65" t="str">
        <x:v>Elisa</x:v>
      </x:c>
      <x:c r="H266" s="74" t="n">
        <x:v>20818.55</x:v>
      </x:c>
      <x:c r="I266" s="74" t="n">
        <x:v>901.22</x:v>
      </x:c>
      <x:c r="J266" s="74" t="n">
        <x:v>12510.84</x:v>
      </x:c>
      <x:c r="K266" s="74" t="n">
        <x:v>19917.329999999998</x:v>
      </x:c>
      <x:c r="L266" s="74" t="n">
        <x:v>7406.489999999998</x:v>
      </x:c>
    </x:row>
    <x:row r="267">
      <x:c r="A267" s="65" t="str">
        <x:v>TX-1220</x:v>
      </x:c>
      <x:c r="B267" s="65" t="str">
        <x:v>2025-11-22</x:v>
      </x:c>
      <x:c r="C267" s="65" t="str">
        <x:v>Marketing</x:v>
      </x:c>
      <x:c r="D267" s="65" t="str">
        <x:v>Digital</x:v>
      </x:c>
      <x:c r="E267" s="65" t="str">
        <x:v>Sudeste</x:v>
      </x:c>
      <x:c r="F267" s="65" t="str">
        <x:v>Beta Logistica</x:v>
      </x:c>
      <x:c r="G267" s="65" t="str">
        <x:v>Diego</x:v>
      </x:c>
      <x:c r="H267" s="74" t="n">
        <x:v>17878.38</x:v>
      </x:c>
      <x:c r="I267" s="74" t="n">
        <x:v>824.25</x:v>
      </x:c>
      <x:c r="J267" s="74" t="n">
        <x:v>12204.13</x:v>
      </x:c>
      <x:c r="K267" s="74" t="n">
        <x:v>17054.13</x:v>
      </x:c>
      <x:c r="L267" s="74" t="n">
        <x:v>4850.000000000002</x:v>
      </x:c>
    </x:row>
    <x:row r="268">
      <x:c r="A268" s="65" t="str">
        <x:v>TX-1265</x:v>
      </x:c>
      <x:c r="B268" s="65" t="str">
        <x:v>2025-11-22</x:v>
      </x:c>
      <x:c r="C268" s="65" t="str">
        <x:v>Comercial</x:v>
      </x:c>
      <x:c r="D268" s="65" t="str">
        <x:v>Parceiros</x:v>
      </x:c>
      <x:c r="E268" s="65" t="str">
        <x:v>Nordeste</x:v>
      </x:c>
      <x:c r="F268" s="65" t="str">
        <x:v>Evo Saude</x:v>
      </x:c>
      <x:c r="G268" s="65" t="str">
        <x:v>Bruno</x:v>
      </x:c>
      <x:c r="H268" s="74" t="n">
        <x:v>23444.7</x:v>
      </x:c>
      <x:c r="I268" s="74" t="n">
        <x:v>1785.56</x:v>
      </x:c>
      <x:c r="J268" s="74" t="n">
        <x:v>12418.71</x:v>
      </x:c>
      <x:c r="K268" s="74" t="n">
        <x:v>21659.14</x:v>
      </x:c>
      <x:c r="L268" s="74" t="n">
        <x:v>9240.43</x:v>
      </x:c>
    </x:row>
    <x:row r="269">
      <x:c r="A269" s="65" t="str">
        <x:v>TX-1248</x:v>
      </x:c>
      <x:c r="B269" s="65" t="str">
        <x:v>2025-11-23</x:v>
      </x:c>
      <x:c r="C269" s="65" t="str">
        <x:v>Tecnologia</x:v>
      </x:c>
      <x:c r="D269" s="65" t="str">
        <x:v>Parceiros</x:v>
      </x:c>
      <x:c r="E269" s="65" t="str">
        <x:v>Nordeste</x:v>
      </x:c>
      <x:c r="F269" s="65" t="str">
        <x:v>Gama Servicos</x:v>
      </x:c>
      <x:c r="G269" s="65" t="str">
        <x:v>Elisa</x:v>
      </x:c>
      <x:c r="H269" s="74" t="n">
        <x:v>13569.59</x:v>
      </x:c>
      <x:c r="I269" s="74" t="n">
        <x:v>172.4</x:v>
      </x:c>
      <x:c r="J269" s="74" t="n">
        <x:v>7907.82</x:v>
      </x:c>
      <x:c r="K269" s="74" t="n">
        <x:v>13397.19</x:v>
      </x:c>
      <x:c r="L269" s="74" t="n">
        <x:v>5489.370000000001</x:v>
      </x:c>
    </x:row>
    <x:row r="270">
      <x:c r="A270" s="65" t="str">
        <x:v>TX-1257</x:v>
      </x:c>
      <x:c r="B270" s="65" t="str">
        <x:v>2025-11-24</x:v>
      </x:c>
      <x:c r="C270" s="65" t="str">
        <x:v>Operacoes</x:v>
      </x:c>
      <x:c r="D270" s="65" t="str">
        <x:v>Digital</x:v>
      </x:c>
      <x:c r="E270" s="65" t="str">
        <x:v>Nordeste</x:v>
      </x:c>
      <x:c r="F270" s="65" t="str">
        <x:v>Alfa Industria</x:v>
      </x:c>
      <x:c r="G270" s="65" t="str">
        <x:v>Elisa</x:v>
      </x:c>
      <x:c r="H270" s="74" t="n">
        <x:v>22686.26</x:v>
      </x:c>
      <x:c r="I270" s="74" t="n">
        <x:v>1619.06</x:v>
      </x:c>
      <x:c r="J270" s="74" t="n">
        <x:v>14643.7</x:v>
      </x:c>
      <x:c r="K270" s="74" t="n">
        <x:v>21067.199999999997</x:v>
      </x:c>
      <x:c r="L270" s="74" t="n">
        <x:v>6423.499999999996</x:v>
      </x:c>
    </x:row>
    <x:row r="271">
      <x:c r="A271" s="65" t="str">
        <x:v>TX-1261</x:v>
      </x:c>
      <x:c r="B271" s="65" t="str">
        <x:v>2025-11-25</x:v>
      </x:c>
      <x:c r="C271" s="65" t="str">
        <x:v>Tecnologia</x:v>
      </x:c>
      <x:c r="D271" s="65" t="str">
        <x:v>Direto</x:v>
      </x:c>
      <x:c r="E271" s="65" t="str">
        <x:v>Sudeste</x:v>
      </x:c>
      <x:c r="F271" s="65" t="str">
        <x:v>Evo Saude</x:v>
      </x:c>
      <x:c r="G271" s="65" t="str">
        <x:v>Carla</x:v>
      </x:c>
      <x:c r="H271" s="74" t="n">
        <x:v>21593.38</x:v>
      </x:c>
      <x:c r="I271" s="74" t="n">
        <x:v>932.3</x:v>
      </x:c>
      <x:c r="J271" s="74" t="n">
        <x:v>12194.48</x:v>
      </x:c>
      <x:c r="K271" s="74" t="n">
        <x:v>20661.08</x:v>
      </x:c>
      <x:c r="L271" s="74" t="n">
        <x:v>8466.600000000002</x:v>
      </x:c>
    </x:row>
    <x:row r="272">
      <x:c r="A272" s="65" t="str">
        <x:v>TX-1302</x:v>
      </x:c>
      <x:c r="B272" s="65" t="str">
        <x:v>2025-12-01</x:v>
      </x:c>
      <x:c r="C272" s="65" t="str">
        <x:v>Tecnologia</x:v>
      </x:c>
      <x:c r="D272" s="65" t="str">
        <x:v>Parceiros</x:v>
      </x:c>
      <x:c r="E272" s="65" t="str">
        <x:v>Centro-Oeste</x:v>
      </x:c>
      <x:c r="F272" s="65" t="str">
        <x:v>Beta Logistica</x:v>
      </x:c>
      <x:c r="G272" s="65" t="str">
        <x:v>Carla</x:v>
      </x:c>
      <x:c r="H272" s="74" t="n">
        <x:v>17798.9</x:v>
      </x:c>
      <x:c r="I272" s="74" t="n">
        <x:v>1385.86</x:v>
      </x:c>
      <x:c r="J272" s="74" t="n">
        <x:v>10593.48</x:v>
      </x:c>
      <x:c r="K272" s="74" t="n">
        <x:v>16413.04</x:v>
      </x:c>
      <x:c r="L272" s="74" t="n">
        <x:v>5819.560000000001</x:v>
      </x:c>
    </x:row>
    <x:row r="273">
      <x:c r="A273" s="65" t="str">
        <x:v>TX-1293</x:v>
      </x:c>
      <x:c r="B273" s="65" t="str">
        <x:v>2025-12-01</x:v>
      </x:c>
      <x:c r="C273" s="65" t="str">
        <x:v>Comercial</x:v>
      </x:c>
      <x:c r="D273" s="65" t="str">
        <x:v>Digital</x:v>
      </x:c>
      <x:c r="E273" s="65" t="str">
        <x:v>Sudeste</x:v>
      </x:c>
      <x:c r="F273" s="65" t="str">
        <x:v>Gama Servicos</x:v>
      </x:c>
      <x:c r="G273" s="65" t="str">
        <x:v>Diego</x:v>
      </x:c>
      <x:c r="H273" s="74" t="n">
        <x:v>26938.39</x:v>
      </x:c>
      <x:c r="I273" s="74" t="n">
        <x:v>1305.56</x:v>
      </x:c>
      <x:c r="J273" s="74" t="n">
        <x:v>14203.43</x:v>
      </x:c>
      <x:c r="K273" s="74" t="n">
        <x:v>25632.829999999998</x:v>
      </x:c>
      <x:c r="L273" s="74" t="n">
        <x:v>11429.399999999998</x:v>
      </x:c>
    </x:row>
    <x:row r="274">
      <x:c r="A274" s="65" t="str">
        <x:v>TX-1319</x:v>
      </x:c>
      <x:c r="B274" s="65" t="str">
        <x:v>2025-12-01</x:v>
      </x:c>
      <x:c r="C274" s="65" t="str">
        <x:v>Tecnologia</x:v>
      </x:c>
      <x:c r="D274" s="65" t="str">
        <x:v>Parceiros</x:v>
      </x:c>
      <x:c r="E274" s="65" t="str">
        <x:v>Nordeste</x:v>
      </x:c>
      <x:c r="F274" s="65" t="str">
        <x:v>Crescer Educacao</x:v>
      </x:c>
      <x:c r="G274" s="65" t="str">
        <x:v>Bruno</x:v>
      </x:c>
      <x:c r="H274" s="74" t="n">
        <x:v>25129.98</x:v>
      </x:c>
      <x:c r="I274" s="74" t="n">
        <x:v>1447.55</x:v>
      </x:c>
      <x:c r="J274" s="74" t="n">
        <x:v>14093.09</x:v>
      </x:c>
      <x:c r="K274" s="74" t="n">
        <x:v>23682.43</x:v>
      </x:c>
      <x:c r="L274" s="74" t="n">
        <x:v>9589.34</x:v>
      </x:c>
    </x:row>
    <x:row r="275">
      <x:c r="A275" s="65" t="str">
        <x:v>TX-1271</x:v>
      </x:c>
      <x:c r="B275" s="65" t="str">
        <x:v>2025-12-02</x:v>
      </x:c>
      <x:c r="C275" s="65" t="str">
        <x:v>Comercial</x:v>
      </x:c>
      <x:c r="D275" s="65" t="str">
        <x:v>Direto</x:v>
      </x:c>
      <x:c r="E275" s="65" t="str">
        <x:v>Nordeste</x:v>
      </x:c>
      <x:c r="F275" s="65" t="str">
        <x:v>Delta Varejo</x:v>
      </x:c>
      <x:c r="G275" s="65" t="str">
        <x:v>Felipe</x:v>
      </x:c>
      <x:c r="H275" s="74" t="n">
        <x:v>20785.99</x:v>
      </x:c>
      <x:c r="I275" s="74" t="n">
        <x:v>1052.12</x:v>
      </x:c>
      <x:c r="J275" s="74" t="n">
        <x:v>11014.82</x:v>
      </x:c>
      <x:c r="K275" s="74" t="n">
        <x:v>19733.870000000003</x:v>
      </x:c>
      <x:c r="L275" s="74" t="n">
        <x:v>8719.050000000003</x:v>
      </x:c>
    </x:row>
    <x:row r="276">
      <x:c r="A276" s="65" t="str">
        <x:v>TX-1277</x:v>
      </x:c>
      <x:c r="B276" s="65" t="str">
        <x:v>2025-12-02</x:v>
      </x:c>
      <x:c r="C276" s="65" t="str">
        <x:v>Tecnologia</x:v>
      </x:c>
      <x:c r="D276" s="65" t="str">
        <x:v>Direto</x:v>
      </x:c>
      <x:c r="E276" s="65" t="str">
        <x:v>Sul</x:v>
      </x:c>
      <x:c r="F276" s="65" t="str">
        <x:v>Gama Servicos</x:v>
      </x:c>
      <x:c r="G276" s="65" t="str">
        <x:v>Elisa</x:v>
      </x:c>
      <x:c r="H276" s="74" t="n">
        <x:v>21781.72</x:v>
      </x:c>
      <x:c r="I276" s="74" t="n">
        <x:v>350.03</x:v>
      </x:c>
      <x:c r="J276" s="74" t="n">
        <x:v>12836.44</x:v>
      </x:c>
      <x:c r="K276" s="74" t="n">
        <x:v>21431.690000000002</x:v>
      </x:c>
      <x:c r="L276" s="74" t="n">
        <x:v>8595.250000000002</x:v>
      </x:c>
    </x:row>
    <x:row r="277">
      <x:c r="A277" s="65" t="str">
        <x:v>TX-1290</x:v>
      </x:c>
      <x:c r="B277" s="65" t="str">
        <x:v>2025-12-03</x:v>
      </x:c>
      <x:c r="C277" s="65" t="str">
        <x:v>Operacoes</x:v>
      </x:c>
      <x:c r="D277" s="65" t="str">
        <x:v>Direto</x:v>
      </x:c>
      <x:c r="E277" s="65" t="str">
        <x:v>Sul</x:v>
      </x:c>
      <x:c r="F277" s="65" t="str">
        <x:v>Foco Energia</x:v>
      </x:c>
      <x:c r="G277" s="65" t="str">
        <x:v>Felipe</x:v>
      </x:c>
      <x:c r="H277" s="74" t="n">
        <x:v>15035.44</x:v>
      </x:c>
      <x:c r="I277" s="74" t="n">
        <x:v>172.62</x:v>
      </x:c>
      <x:c r="J277" s="74" t="n">
        <x:v>10009.6</x:v>
      </x:c>
      <x:c r="K277" s="74" t="n">
        <x:v>14862.82</x:v>
      </x:c>
      <x:c r="L277" s="74" t="n">
        <x:v>4853.219999999999</x:v>
      </x:c>
    </x:row>
    <x:row r="278">
      <x:c r="A278" s="65" t="str">
        <x:v>TX-1282</x:v>
      </x:c>
      <x:c r="B278" s="65" t="str">
        <x:v>2025-12-03</x:v>
      </x:c>
      <x:c r="C278" s="65" t="str">
        <x:v>Operacoes</x:v>
      </x:c>
      <x:c r="D278" s="65" t="str">
        <x:v>Digital</x:v>
      </x:c>
      <x:c r="E278" s="65" t="str">
        <x:v>Centro-Oeste</x:v>
      </x:c>
      <x:c r="F278" s="65" t="str">
        <x:v>Beta Logistica</x:v>
      </x:c>
      <x:c r="G278" s="65" t="str">
        <x:v>Carla</x:v>
      </x:c>
      <x:c r="H278" s="74" t="n">
        <x:v>18047.35</x:v>
      </x:c>
      <x:c r="I278" s="74" t="n">
        <x:v>900.54</x:v>
      </x:c>
      <x:c r="J278" s="74" t="n">
        <x:v>11894.77</x:v>
      </x:c>
      <x:c r="K278" s="74" t="n">
        <x:v>17146.809999999998</x:v>
      </x:c>
      <x:c r="L278" s="74" t="n">
        <x:v>5252.039999999997</x:v>
      </x:c>
    </x:row>
    <x:row r="279">
      <x:c r="A279" s="65" t="str">
        <x:v>TX-1304</x:v>
      </x:c>
      <x:c r="B279" s="65" t="str">
        <x:v>2025-12-04</x:v>
      </x:c>
      <x:c r="C279" s="65" t="str">
        <x:v>Marketing</x:v>
      </x:c>
      <x:c r="D279" s="65" t="str">
        <x:v>Direto</x:v>
      </x:c>
      <x:c r="E279" s="65" t="str">
        <x:v>Sudeste</x:v>
      </x:c>
      <x:c r="F279" s="65" t="str">
        <x:v>Foco Energia</x:v>
      </x:c>
      <x:c r="G279" s="65" t="str">
        <x:v>Diego</x:v>
      </x:c>
      <x:c r="H279" s="74" t="n">
        <x:v>13260.36</x:v>
      </x:c>
      <x:c r="I279" s="74" t="n">
        <x:v>706.86</x:v>
      </x:c>
      <x:c r="J279" s="74" t="n">
        <x:v>9564.08</x:v>
      </x:c>
      <x:c r="K279" s="74" t="n">
        <x:v>12553.5</x:v>
      </x:c>
      <x:c r="L279" s="74" t="n">
        <x:v>2989.42</x:v>
      </x:c>
    </x:row>
    <x:row r="280">
      <x:c r="A280" s="65" t="str">
        <x:v>TX-1314</x:v>
      </x:c>
      <x:c r="B280" s="65" t="str">
        <x:v>2025-12-05</x:v>
      </x:c>
      <x:c r="C280" s="65" t="str">
        <x:v>Tecnologia</x:v>
      </x:c>
      <x:c r="D280" s="65" t="str">
        <x:v>Direto</x:v>
      </x:c>
      <x:c r="E280" s="65" t="str">
        <x:v>Sudeste</x:v>
      </x:c>
      <x:c r="F280" s="65" t="str">
        <x:v>Delta Varejo</x:v>
      </x:c>
      <x:c r="G280" s="65" t="str">
        <x:v>Ana</x:v>
      </x:c>
      <x:c r="H280" s="74" t="n">
        <x:v>23287.05</x:v>
      </x:c>
      <x:c r="I280" s="74" t="n">
        <x:v>781.05</x:v>
      </x:c>
      <x:c r="J280" s="74" t="n">
        <x:v>13322.05</x:v>
      </x:c>
      <x:c r="K280" s="74" t="n">
        <x:v>22506</x:v>
      </x:c>
      <x:c r="L280" s="74" t="n">
        <x:v>9183.95</x:v>
      </x:c>
    </x:row>
    <x:row r="281">
      <x:c r="A281" s="65" t="str">
        <x:v>TX-1273</x:v>
      </x:c>
      <x:c r="B281" s="65" t="str">
        <x:v>2025-12-05</x:v>
      </x:c>
      <x:c r="C281" s="65" t="str">
        <x:v>Operacoes</x:v>
      </x:c>
      <x:c r="D281" s="65" t="str">
        <x:v>Digital</x:v>
      </x:c>
      <x:c r="E281" s="65" t="str">
        <x:v>Centro-Oeste</x:v>
      </x:c>
      <x:c r="F281" s="65" t="str">
        <x:v>Foco Energia</x:v>
      </x:c>
      <x:c r="G281" s="65" t="str">
        <x:v>Bruno</x:v>
      </x:c>
      <x:c r="H281" s="74" t="n">
        <x:v>19708.13</x:v>
      </x:c>
      <x:c r="I281" s="74" t="n">
        <x:v>408.89</x:v>
      </x:c>
      <x:c r="J281" s="74" t="n">
        <x:v>12603.66</x:v>
      </x:c>
      <x:c r="K281" s="74" t="n">
        <x:v>19299.24</x:v>
      </x:c>
      <x:c r="L281" s="74" t="n">
        <x:v>6695.580000000002</x:v>
      </x:c>
    </x:row>
    <x:row r="282">
      <x:c r="A282" s="65" t="str">
        <x:v>TX-1303</x:v>
      </x:c>
      <x:c r="B282" s="65" t="str">
        <x:v>2025-12-06</x:v>
      </x:c>
      <x:c r="C282" s="65" t="str">
        <x:v>Tecnologia</x:v>
      </x:c>
      <x:c r="D282" s="65" t="str">
        <x:v>Digital</x:v>
      </x:c>
      <x:c r="E282" s="65" t="str">
        <x:v>Centro-Oeste</x:v>
      </x:c>
      <x:c r="F282" s="65" t="str">
        <x:v>Foco Energia</x:v>
      </x:c>
      <x:c r="G282" s="65" t="str">
        <x:v>Carla</x:v>
      </x:c>
      <x:c r="H282" s="74" t="n">
        <x:v>19049.89</x:v>
      </x:c>
      <x:c r="I282" s="74" t="n">
        <x:v>1169.48</x:v>
      </x:c>
      <x:c r="J282" s="74" t="n">
        <x:v>11689.36</x:v>
      </x:c>
      <x:c r="K282" s="74" t="n">
        <x:v>17880.41</x:v>
      </x:c>
      <x:c r="L282" s="74" t="n">
        <x:v>6191.049999999999</x:v>
      </x:c>
    </x:row>
    <x:row r="283">
      <x:c r="A283" s="65" t="str">
        <x:v>TX-1322</x:v>
      </x:c>
      <x:c r="B283" s="65" t="str">
        <x:v>2025-12-06</x:v>
      </x:c>
      <x:c r="C283" s="65" t="str">
        <x:v>Comercial</x:v>
      </x:c>
      <x:c r="D283" s="65" t="str">
        <x:v>Parceiros</x:v>
      </x:c>
      <x:c r="E283" s="65" t="str">
        <x:v>Sudeste</x:v>
      </x:c>
      <x:c r="F283" s="65" t="str">
        <x:v>Foco Energia</x:v>
      </x:c>
      <x:c r="G283" s="65" t="str">
        <x:v>Carla</x:v>
      </x:c>
      <x:c r="H283" s="74" t="n">
        <x:v>25752.51</x:v>
      </x:c>
      <x:c r="I283" s="74" t="n">
        <x:v>1712.18</x:v>
      </x:c>
      <x:c r="J283" s="74" t="n">
        <x:v>13758.8</x:v>
      </x:c>
      <x:c r="K283" s="74" t="n">
        <x:v>24040.329999999998</x:v>
      </x:c>
      <x:c r="L283" s="74" t="n">
        <x:v>10281.529999999999</x:v>
      </x:c>
    </x:row>
    <x:row r="284">
      <x:c r="A284" s="65" t="str">
        <x:v>TX-1318</x:v>
      </x:c>
      <x:c r="B284" s="65" t="str">
        <x:v>2025-12-06</x:v>
      </x:c>
      <x:c r="C284" s="65" t="str">
        <x:v>Marketing</x:v>
      </x:c>
      <x:c r="D284" s="65" t="str">
        <x:v>Direto</x:v>
      </x:c>
      <x:c r="E284" s="65" t="str">
        <x:v>Nordeste</x:v>
      </x:c>
      <x:c r="F284" s="65" t="str">
        <x:v>Crescer Educacao</x:v>
      </x:c>
      <x:c r="G284" s="65" t="str">
        <x:v>Bruno</x:v>
      </x:c>
      <x:c r="H284" s="74" t="n">
        <x:v>16614.56</x:v>
      </x:c>
      <x:c r="I284" s="74" t="n">
        <x:v>783.39</x:v>
      </x:c>
      <x:c r="J284" s="74" t="n">
        <x:v>11038.98</x:v>
      </x:c>
      <x:c r="K284" s="74" t="n">
        <x:v>15831.170000000002</x:v>
      </x:c>
      <x:c r="L284" s="74" t="n">
        <x:v>4792.190000000002</x:v>
      </x:c>
    </x:row>
    <x:row r="285">
      <x:c r="A285" s="65" t="str">
        <x:v>TX-1274</x:v>
      </x:c>
      <x:c r="B285" s="65" t="str">
        <x:v>2025-12-06</x:v>
      </x:c>
      <x:c r="C285" s="65" t="str">
        <x:v>Operacoes</x:v>
      </x:c>
      <x:c r="D285" s="65" t="str">
        <x:v>Direto</x:v>
      </x:c>
      <x:c r="E285" s="65" t="str">
        <x:v>Centro-Oeste</x:v>
      </x:c>
      <x:c r="F285" s="65" t="str">
        <x:v>Beta Logistica</x:v>
      </x:c>
      <x:c r="G285" s="65" t="str">
        <x:v>Carla</x:v>
      </x:c>
      <x:c r="H285" s="74" t="n">
        <x:v>16341.32</x:v>
      </x:c>
      <x:c r="I285" s="74" t="n">
        <x:v>252.34</x:v>
      </x:c>
      <x:c r="J285" s="74" t="n">
        <x:v>10975.17</x:v>
      </x:c>
      <x:c r="K285" s="74" t="n">
        <x:v>16088.98</x:v>
      </x:c>
      <x:c r="L285" s="74" t="n">
        <x:v>5113.8099999999995</x:v>
      </x:c>
    </x:row>
    <x:row r="286">
      <x:c r="A286" s="65" t="str">
        <x:v>TX-1296</x:v>
      </x:c>
      <x:c r="B286" s="65" t="str">
        <x:v>2025-12-06</x:v>
      </x:c>
      <x:c r="C286" s="65" t="str">
        <x:v>Operacoes</x:v>
      </x:c>
      <x:c r="D286" s="65" t="str">
        <x:v>Digital</x:v>
      </x:c>
      <x:c r="E286" s="65" t="str">
        <x:v>Sudeste</x:v>
      </x:c>
      <x:c r="F286" s="65" t="str">
        <x:v>Alfa Industria</x:v>
      </x:c>
      <x:c r="G286" s="65" t="str">
        <x:v>Felipe</x:v>
      </x:c>
      <x:c r="H286" s="74" t="n">
        <x:v>15243.47</x:v>
      </x:c>
      <x:c r="I286" s="74" t="n">
        <x:v>981.15</x:v>
      </x:c>
      <x:c r="J286" s="74" t="n">
        <x:v>10397.66</x:v>
      </x:c>
      <x:c r="K286" s="74" t="n">
        <x:v>14262.32</x:v>
      </x:c>
      <x:c r="L286" s="74" t="n">
        <x:v>3864.66</x:v>
      </x:c>
    </x:row>
    <x:row r="287">
      <x:c r="A287" s="65" t="str">
        <x:v>TX-1291</x:v>
      </x:c>
      <x:c r="B287" s="65" t="str">
        <x:v>2025-12-07</x:v>
      </x:c>
      <x:c r="C287" s="65" t="str">
        <x:v>Comercial</x:v>
      </x:c>
      <x:c r="D287" s="65" t="str">
        <x:v>Direto</x:v>
      </x:c>
      <x:c r="E287" s="65" t="str">
        <x:v>Centro-Oeste</x:v>
      </x:c>
      <x:c r="F287" s="65" t="str">
        <x:v>Alfa Industria</x:v>
      </x:c>
      <x:c r="G287" s="65" t="str">
        <x:v>Ana</x:v>
      </x:c>
      <x:c r="H287" s="74" t="n">
        <x:v>26165.49</x:v>
      </x:c>
      <x:c r="I287" s="74" t="n">
        <x:v>1327.14</x:v>
      </x:c>
      <x:c r="J287" s="74" t="n">
        <x:v>14014.2</x:v>
      </x:c>
      <x:c r="K287" s="74" t="n">
        <x:v>24838.350000000002</x:v>
      </x:c>
      <x:c r="L287" s="74" t="n">
        <x:v>10824.150000000001</x:v>
      </x:c>
    </x:row>
    <x:row r="288">
      <x:c r="A288" s="65" t="str">
        <x:v>TX-1285</x:v>
      </x:c>
      <x:c r="B288" s="65" t="str">
        <x:v>2025-12-07</x:v>
      </x:c>
      <x:c r="C288" s="65" t="str">
        <x:v>Comercial</x:v>
      </x:c>
      <x:c r="D288" s="65" t="str">
        <x:v>Direto</x:v>
      </x:c>
      <x:c r="E288" s="65" t="str">
        <x:v>Nordeste</x:v>
      </x:c>
      <x:c r="F288" s="65" t="str">
        <x:v>Crescer Educacao</x:v>
      </x:c>
      <x:c r="G288" s="65" t="str">
        <x:v>Diego</x:v>
      </x:c>
      <x:c r="H288" s="74" t="n">
        <x:v>22603.92</x:v>
      </x:c>
      <x:c r="I288" s="74" t="n">
        <x:v>1798.06</x:v>
      </x:c>
      <x:c r="J288" s="74" t="n">
        <x:v>11166.17</x:v>
      </x:c>
      <x:c r="K288" s="74" t="n">
        <x:v>20805.859999999997</x:v>
      </x:c>
      <x:c r="L288" s="74" t="n">
        <x:v>9639.689999999997</x:v>
      </x:c>
    </x:row>
    <x:row r="289">
      <x:c r="A289" s="65" t="str">
        <x:v>TX-1313</x:v>
      </x:c>
      <x:c r="B289" s="65" t="str">
        <x:v>2025-12-08</x:v>
      </x:c>
      <x:c r="C289" s="65" t="str">
        <x:v>Operacoes</x:v>
      </x:c>
      <x:c r="D289" s="65" t="str">
        <x:v>Digital</x:v>
      </x:c>
      <x:c r="E289" s="65" t="str">
        <x:v>Sudeste</x:v>
      </x:c>
      <x:c r="F289" s="65" t="str">
        <x:v>Crescer Educacao</x:v>
      </x:c>
      <x:c r="G289" s="65" t="str">
        <x:v>Carla</x:v>
      </x:c>
      <x:c r="H289" s="74" t="n">
        <x:v>18937.15</x:v>
      </x:c>
      <x:c r="I289" s="74" t="n">
        <x:v>1421.07</x:v>
      </x:c>
      <x:c r="J289" s="74" t="n">
        <x:v>11116.51</x:v>
      </x:c>
      <x:c r="K289" s="74" t="n">
        <x:v>17516.08</x:v>
      </x:c>
      <x:c r="L289" s="74" t="n">
        <x:v>6399.5700000000015</x:v>
      </x:c>
    </x:row>
    <x:row r="290">
      <x:c r="A290" s="65" t="str">
        <x:v>TX-1289</x:v>
      </x:c>
      <x:c r="B290" s="65" t="str">
        <x:v>2025-12-09</x:v>
      </x:c>
      <x:c r="C290" s="65" t="str">
        <x:v>Tecnologia</x:v>
      </x:c>
      <x:c r="D290" s="65" t="str">
        <x:v>Digital</x:v>
      </x:c>
      <x:c r="E290" s="65" t="str">
        <x:v>Sul</x:v>
      </x:c>
      <x:c r="F290" s="65" t="str">
        <x:v>Alfa Industria</x:v>
      </x:c>
      <x:c r="G290" s="65" t="str">
        <x:v>Bruno</x:v>
      </x:c>
      <x:c r="H290" s="74" t="n">
        <x:v>22371.74</x:v>
      </x:c>
      <x:c r="I290" s="74" t="n">
        <x:v>519.24</x:v>
      </x:c>
      <x:c r="J290" s="74" t="n">
        <x:v>14366.58</x:v>
      </x:c>
      <x:c r="K290" s="74" t="n">
        <x:v>21852.5</x:v>
      </x:c>
      <x:c r="L290" s="74" t="n">
        <x:v>7485.92</x:v>
      </x:c>
    </x:row>
    <x:row r="291">
      <x:c r="A291" s="65" t="str">
        <x:v>TX-1310</x:v>
      </x:c>
      <x:c r="B291" s="65" t="str">
        <x:v>2025-12-09</x:v>
      </x:c>
      <x:c r="C291" s="65" t="str">
        <x:v>Comercial</x:v>
      </x:c>
      <x:c r="D291" s="65" t="str">
        <x:v>Parceiros</x:v>
      </x:c>
      <x:c r="E291" s="65" t="str">
        <x:v>Centro-Oeste</x:v>
      </x:c>
      <x:c r="F291" s="65" t="str">
        <x:v>Gama Servicos</x:v>
      </x:c>
      <x:c r="G291" s="65" t="str">
        <x:v>Ana</x:v>
      </x:c>
      <x:c r="H291" s="74" t="n">
        <x:v>25185.64</x:v>
      </x:c>
      <x:c r="I291" s="74" t="n">
        <x:v>689.6</x:v>
      </x:c>
      <x:c r="J291" s="74" t="n">
        <x:v>13418.52</x:v>
      </x:c>
      <x:c r="K291" s="74" t="n">
        <x:v>24496.04</x:v>
      </x:c>
      <x:c r="L291" s="74" t="n">
        <x:v>11077.52</x:v>
      </x:c>
    </x:row>
    <x:row r="292">
      <x:c r="A292" s="65" t="str">
        <x:v>TX-1295</x:v>
      </x:c>
      <x:c r="B292" s="65" t="str">
        <x:v>2025-12-09</x:v>
      </x:c>
      <x:c r="C292" s="65" t="str">
        <x:v>Comercial</x:v>
      </x:c>
      <x:c r="D292" s="65" t="str">
        <x:v>Parceiros</x:v>
      </x:c>
      <x:c r="E292" s="65" t="str">
        <x:v>Sudeste</x:v>
      </x:c>
      <x:c r="F292" s="65" t="str">
        <x:v>Crescer Educacao</x:v>
      </x:c>
      <x:c r="G292" s="65" t="str">
        <x:v>Carla</x:v>
      </x:c>
      <x:c r="H292" s="74" t="n">
        <x:v>27114.45</x:v>
      </x:c>
      <x:c r="I292" s="74" t="n">
        <x:v>939.65</x:v>
      </x:c>
      <x:c r="J292" s="74" t="n">
        <x:v>14956.81</x:v>
      </x:c>
      <x:c r="K292" s="74" t="n">
        <x:v>26174.8</x:v>
      </x:c>
      <x:c r="L292" s="74" t="n">
        <x:v>11217.99</x:v>
      </x:c>
    </x:row>
    <x:row r="293">
      <x:c r="A293" s="65" t="str">
        <x:v>TX-1311</x:v>
      </x:c>
      <x:c r="B293" s="65" t="str">
        <x:v>2025-12-10</x:v>
      </x:c>
      <x:c r="C293" s="65" t="str">
        <x:v>Tecnologia</x:v>
      </x:c>
      <x:c r="D293" s="65" t="str">
        <x:v>Digital</x:v>
      </x:c>
      <x:c r="E293" s="65" t="str">
        <x:v>Sul</x:v>
      </x:c>
      <x:c r="F293" s="65" t="str">
        <x:v>Gama Servicos</x:v>
      </x:c>
      <x:c r="G293" s="65" t="str">
        <x:v>Carla</x:v>
      </x:c>
      <x:c r="H293" s="74" t="n">
        <x:v>19343.29</x:v>
      </x:c>
      <x:c r="I293" s="74" t="n">
        <x:v>222.99</x:v>
      </x:c>
      <x:c r="J293" s="74" t="n">
        <x:v>11759.76</x:v>
      </x:c>
      <x:c r="K293" s="74" t="n">
        <x:v>19120.3</x:v>
      </x:c>
      <x:c r="L293" s="74" t="n">
        <x:v>7360.539999999999</x:v>
      </x:c>
    </x:row>
    <x:row r="294">
      <x:c r="A294" s="65" t="str">
        <x:v>TX-1270</x:v>
      </x:c>
      <x:c r="B294" s="65" t="str">
        <x:v>2025-12-10</x:v>
      </x:c>
      <x:c r="C294" s="65" t="str">
        <x:v>Comercial</x:v>
      </x:c>
      <x:c r="D294" s="65" t="str">
        <x:v>Direto</x:v>
      </x:c>
      <x:c r="E294" s="65" t="str">
        <x:v>Sudeste</x:v>
      </x:c>
      <x:c r="F294" s="65" t="str">
        <x:v>Horizonte Tech</x:v>
      </x:c>
      <x:c r="G294" s="65" t="str">
        <x:v>Ana</x:v>
      </x:c>
      <x:c r="H294" s="74" t="n">
        <x:v>19274.15</x:v>
      </x:c>
      <x:c r="I294" s="74" t="n">
        <x:v>314.17</x:v>
      </x:c>
      <x:c r="J294" s="74" t="n">
        <x:v>11280.09</x:v>
      </x:c>
      <x:c r="K294" s="74" t="n">
        <x:v>18959.980000000003</x:v>
      </x:c>
      <x:c r="L294" s="74" t="n">
        <x:v>7679.890000000003</x:v>
      </x:c>
    </x:row>
    <x:row r="295">
      <x:c r="A295" s="65" t="str">
        <x:v>TX-1288</x:v>
      </x:c>
      <x:c r="B295" s="65" t="str">
        <x:v>2025-12-11</x:v>
      </x:c>
      <x:c r="C295" s="65" t="str">
        <x:v>Tecnologia</x:v>
      </x:c>
      <x:c r="D295" s="65" t="str">
        <x:v>Parceiros</x:v>
      </x:c>
      <x:c r="E295" s="65" t="str">
        <x:v>Nordeste</x:v>
      </x:c>
      <x:c r="F295" s="65" t="str">
        <x:v>Foco Energia</x:v>
      </x:c>
      <x:c r="G295" s="65" t="str">
        <x:v>Elisa</x:v>
      </x:c>
      <x:c r="H295" s="74" t="n">
        <x:v>24528.91</x:v>
      </x:c>
      <x:c r="I295" s="74" t="n">
        <x:v>1113.25</x:v>
      </x:c>
      <x:c r="J295" s="74" t="n">
        <x:v>14389.17</x:v>
      </x:c>
      <x:c r="K295" s="74" t="n">
        <x:v>23415.66</x:v>
      </x:c>
      <x:c r="L295" s="74" t="n">
        <x:v>9026.49</x:v>
      </x:c>
    </x:row>
    <x:row r="296">
      <x:c r="A296" s="65" t="str">
        <x:v>TX-1309</x:v>
      </x:c>
      <x:c r="B296" s="65" t="str">
        <x:v>2025-12-11</x:v>
      </x:c>
      <x:c r="C296" s="65" t="str">
        <x:v>Tecnologia</x:v>
      </x:c>
      <x:c r="D296" s="65" t="str">
        <x:v>Direto</x:v>
      </x:c>
      <x:c r="E296" s="65" t="str">
        <x:v>Sul</x:v>
      </x:c>
      <x:c r="F296" s="65" t="str">
        <x:v>Crescer Educacao</x:v>
      </x:c>
      <x:c r="G296" s="65" t="str">
        <x:v>Diego</x:v>
      </x:c>
      <x:c r="H296" s="74" t="n">
        <x:v>21164.55</x:v>
      </x:c>
      <x:c r="I296" s="74" t="n">
        <x:v>259.12</x:v>
      </x:c>
      <x:c r="J296" s="74" t="n">
        <x:v>12074.67</x:v>
      </x:c>
      <x:c r="K296" s="74" t="n">
        <x:v>20905.43</x:v>
      </x:c>
      <x:c r="L296" s="74" t="n">
        <x:v>8830.76</x:v>
      </x:c>
    </x:row>
    <x:row r="297">
      <x:c r="A297" s="65" t="str">
        <x:v>TX-1287</x:v>
      </x:c>
      <x:c r="B297" s="65" t="str">
        <x:v>2025-12-11</x:v>
      </x:c>
      <x:c r="C297" s="65" t="str">
        <x:v>Marketing</x:v>
      </x:c>
      <x:c r="D297" s="65" t="str">
        <x:v>Digital</x:v>
      </x:c>
      <x:c r="E297" s="65" t="str">
        <x:v>Sul</x:v>
      </x:c>
      <x:c r="F297" s="65" t="str">
        <x:v>Alfa Industria</x:v>
      </x:c>
      <x:c r="G297" s="65" t="str">
        <x:v>Bruno</x:v>
      </x:c>
      <x:c r="H297" s="74" t="n">
        <x:v>12504.78</x:v>
      </x:c>
      <x:c r="I297" s="74" t="n">
        <x:v>918.19</x:v>
      </x:c>
      <x:c r="J297" s="74" t="n">
        <x:v>8241.75</x:v>
      </x:c>
      <x:c r="K297" s="74" t="n">
        <x:v>11586.59</x:v>
      </x:c>
      <x:c r="L297" s="74" t="n">
        <x:v>3344.84</x:v>
      </x:c>
    </x:row>
    <x:row r="298">
      <x:c r="A298" s="65" t="str">
        <x:v>TX-1307</x:v>
      </x:c>
      <x:c r="B298" s="65" t="str">
        <x:v>2025-12-12</x:v>
      </x:c>
      <x:c r="C298" s="65" t="str">
        <x:v>Marketing</x:v>
      </x:c>
      <x:c r="D298" s="65" t="str">
        <x:v>Digital</x:v>
      </x:c>
      <x:c r="E298" s="65" t="str">
        <x:v>Sul</x:v>
      </x:c>
      <x:c r="F298" s="65" t="str">
        <x:v>Crescer Educacao</x:v>
      </x:c>
      <x:c r="G298" s="65" t="str">
        <x:v>Ana</x:v>
      </x:c>
      <x:c r="H298" s="74" t="n">
        <x:v>14745.81</x:v>
      </x:c>
      <x:c r="I298" s="74" t="n">
        <x:v>267.09</x:v>
      </x:c>
      <x:c r="J298" s="74" t="n">
        <x:v>10509.99</x:v>
      </x:c>
      <x:c r="K298" s="74" t="n">
        <x:v>14478.72</x:v>
      </x:c>
      <x:c r="L298" s="74" t="n">
        <x:v>3968.7299999999996</x:v>
      </x:c>
    </x:row>
    <x:row r="299">
      <x:c r="A299" s="65" t="str">
        <x:v>TX-1308</x:v>
      </x:c>
      <x:c r="B299" s="65" t="str">
        <x:v>2025-12-12</x:v>
      </x:c>
      <x:c r="C299" s="65" t="str">
        <x:v>Comercial</x:v>
      </x:c>
      <x:c r="D299" s="65" t="str">
        <x:v>Direto</x:v>
      </x:c>
      <x:c r="E299" s="65" t="str">
        <x:v>Sudeste</x:v>
      </x:c>
      <x:c r="F299" s="65" t="str">
        <x:v>Delta Varejo</x:v>
      </x:c>
      <x:c r="G299" s="65" t="str">
        <x:v>Elisa</x:v>
      </x:c>
      <x:c r="H299" s="74" t="n">
        <x:v>21569.33</x:v>
      </x:c>
      <x:c r="I299" s="74" t="n">
        <x:v>287.22</x:v>
      </x:c>
      <x:c r="J299" s="74" t="n">
        <x:v>11791.15</x:v>
      </x:c>
      <x:c r="K299" s="74" t="n">
        <x:v>21282.11</x:v>
      </x:c>
      <x:c r="L299" s="74" t="n">
        <x:v>9490.960000000001</x:v>
      </x:c>
    </x:row>
    <x:row r="300">
      <x:c r="A300" s="65" t="str">
        <x:v>TX-1297</x:v>
      </x:c>
      <x:c r="B300" s="65" t="str">
        <x:v>2025-12-12</x:v>
      </x:c>
      <x:c r="C300" s="65" t="str">
        <x:v>Operacoes</x:v>
      </x:c>
      <x:c r="D300" s="65" t="str">
        <x:v>Parceiros</x:v>
      </x:c>
      <x:c r="E300" s="65" t="str">
        <x:v>Sul</x:v>
      </x:c>
      <x:c r="F300" s="65" t="str">
        <x:v>Beta Logistica</x:v>
      </x:c>
      <x:c r="G300" s="65" t="str">
        <x:v>Carla</x:v>
      </x:c>
      <x:c r="H300" s="74" t="n">
        <x:v>11092.11</x:v>
      </x:c>
      <x:c r="I300" s="74" t="n">
        <x:v>143.96</x:v>
      </x:c>
      <x:c r="J300" s="74" t="n">
        <x:v>7713.41</x:v>
      </x:c>
      <x:c r="K300" s="74" t="n">
        <x:v>10948.150000000001</x:v>
      </x:c>
      <x:c r="L300" s="74" t="n">
        <x:v>3234.7400000000016</x:v>
      </x:c>
    </x:row>
    <x:row r="301">
      <x:c r="A301" s="65" t="str">
        <x:v>TX-1281</x:v>
      </x:c>
      <x:c r="B301" s="65" t="str">
        <x:v>2025-12-12</x:v>
      </x:c>
      <x:c r="C301" s="65" t="str">
        <x:v>Comercial</x:v>
      </x:c>
      <x:c r="D301" s="65" t="str">
        <x:v>Parceiros</x:v>
      </x:c>
      <x:c r="E301" s="65" t="str">
        <x:v>Sul</x:v>
      </x:c>
      <x:c r="F301" s="65" t="str">
        <x:v>Crescer Educacao</x:v>
      </x:c>
      <x:c r="G301" s="65" t="str">
        <x:v>Elisa</x:v>
      </x:c>
      <x:c r="H301" s="74" t="n">
        <x:v>28218.96</x:v>
      </x:c>
      <x:c r="I301" s="74" t="n">
        <x:v>470.22</x:v>
      </x:c>
      <x:c r="J301" s="74" t="n">
        <x:v>15544.78</x:v>
      </x:c>
      <x:c r="K301" s="74" t="n">
        <x:v>27748.739999999998</x:v>
      </x:c>
      <x:c r="L301" s="74" t="n">
        <x:v>12203.959999999997</x:v>
      </x:c>
    </x:row>
    <x:row r="302">
      <x:c r="A302" s="65" t="str">
        <x:v>TX-1292</x:v>
      </x:c>
      <x:c r="B302" s="65" t="str">
        <x:v>2025-12-12</x:v>
      </x:c>
      <x:c r="C302" s="65" t="str">
        <x:v>Operacoes</x:v>
      </x:c>
      <x:c r="D302" s="65" t="str">
        <x:v>Digital</x:v>
      </x:c>
      <x:c r="E302" s="65" t="str">
        <x:v>Nordeste</x:v>
      </x:c>
      <x:c r="F302" s="65" t="str">
        <x:v>Horizonte Tech</x:v>
      </x:c>
      <x:c r="G302" s="65" t="str">
        <x:v>Ana</x:v>
      </x:c>
      <x:c r="H302" s="74" t="n">
        <x:v>21776.35</x:v>
      </x:c>
      <x:c r="I302" s="74" t="n">
        <x:v>892.82</x:v>
      </x:c>
      <x:c r="J302" s="74" t="n">
        <x:v>13672.18</x:v>
      </x:c>
      <x:c r="K302" s="74" t="n">
        <x:v>20883.53</x:v>
      </x:c>
      <x:c r="L302" s="74" t="n">
        <x:v>7211.3499999999985</x:v>
      </x:c>
    </x:row>
    <x:row r="303">
      <x:c r="A303" s="65" t="str">
        <x:v>TX-1317</x:v>
      </x:c>
      <x:c r="B303" s="65" t="str">
        <x:v>2025-12-13</x:v>
      </x:c>
      <x:c r="C303" s="65" t="str">
        <x:v>Marketing</x:v>
      </x:c>
      <x:c r="D303" s="65" t="str">
        <x:v>Direto</x:v>
      </x:c>
      <x:c r="E303" s="65" t="str">
        <x:v>Sul</x:v>
      </x:c>
      <x:c r="F303" s="65" t="str">
        <x:v>Beta Logistica</x:v>
      </x:c>
      <x:c r="G303" s="65" t="str">
        <x:v>Bruno</x:v>
      </x:c>
      <x:c r="H303" s="74" t="n">
        <x:v>16327.73</x:v>
      </x:c>
      <x:c r="I303" s="74" t="n">
        <x:v>739.94</x:v>
      </x:c>
      <x:c r="J303" s="74" t="n">
        <x:v>11898.73</x:v>
      </x:c>
      <x:c r="K303" s="74" t="n">
        <x:v>15587.789999999999</x:v>
      </x:c>
      <x:c r="L303" s="74" t="n">
        <x:v>3689.0599999999995</x:v>
      </x:c>
    </x:row>
    <x:row r="304">
      <x:c r="A304" s="65" t="str">
        <x:v>TX-1316</x:v>
      </x:c>
      <x:c r="B304" s="65" t="str">
        <x:v>2025-12-14</x:v>
      </x:c>
      <x:c r="C304" s="65" t="str">
        <x:v>Marketing</x:v>
      </x:c>
      <x:c r="D304" s="65" t="str">
        <x:v>Parceiros</x:v>
      </x:c>
      <x:c r="E304" s="65" t="str">
        <x:v>Sudeste</x:v>
      </x:c>
      <x:c r="F304" s="65" t="str">
        <x:v>Horizonte Tech</x:v>
      </x:c>
      <x:c r="G304" s="65" t="str">
        <x:v>Elisa</x:v>
      </x:c>
      <x:c r="H304" s="74" t="n">
        <x:v>16439.33</x:v>
      </x:c>
      <x:c r="I304" s="74" t="n">
        <x:v>744.45</x:v>
      </x:c>
      <x:c r="J304" s="74" t="n">
        <x:v>11716.35</x:v>
      </x:c>
      <x:c r="K304" s="74" t="n">
        <x:v>15694.880000000001</x:v>
      </x:c>
      <x:c r="L304" s="74" t="n">
        <x:v>3978.5300000000007</x:v>
      </x:c>
    </x:row>
    <x:row r="305">
      <x:c r="A305" s="65" t="str">
        <x:v>TX-1294</x:v>
      </x:c>
      <x:c r="B305" s="65" t="str">
        <x:v>2025-12-14</x:v>
      </x:c>
      <x:c r="C305" s="65" t="str">
        <x:v>Operacoes</x:v>
      </x:c>
      <x:c r="D305" s="65" t="str">
        <x:v>Direto</x:v>
      </x:c>
      <x:c r="E305" s="65" t="str">
        <x:v>Centro-Oeste</x:v>
      </x:c>
      <x:c r="F305" s="65" t="str">
        <x:v>Delta Varejo</x:v>
      </x:c>
      <x:c r="G305" s="65" t="str">
        <x:v>Elisa</x:v>
      </x:c>
      <x:c r="H305" s="74" t="n">
        <x:v>14746.41</x:v>
      </x:c>
      <x:c r="I305" s="74" t="n">
        <x:v>1131.35</x:v>
      </x:c>
      <x:c r="J305" s="74" t="n">
        <x:v>10016.73</x:v>
      </x:c>
      <x:c r="K305" s="74" t="n">
        <x:v>13615.06</x:v>
      </x:c>
      <x:c r="L305" s="74" t="n">
        <x:v>3598.33</x:v>
      </x:c>
    </x:row>
    <x:row r="306">
      <x:c r="A306" s="65" t="str">
        <x:v>TX-1280</x:v>
      </x:c>
      <x:c r="B306" s="65" t="str">
        <x:v>2025-12-14</x:v>
      </x:c>
      <x:c r="C306" s="65" t="str">
        <x:v>Tecnologia</x:v>
      </x:c>
      <x:c r="D306" s="65" t="str">
        <x:v>Parceiros</x:v>
      </x:c>
      <x:c r="E306" s="65" t="str">
        <x:v>Centro-Oeste</x:v>
      </x:c>
      <x:c r="F306" s="65" t="str">
        <x:v>Horizonte Tech</x:v>
      </x:c>
      <x:c r="G306" s="65" t="str">
        <x:v>Diego</x:v>
      </x:c>
      <x:c r="H306" s="74" t="n">
        <x:v>13071.77</x:v>
      </x:c>
      <x:c r="I306" s="74" t="n">
        <x:v>974.08</x:v>
      </x:c>
      <x:c r="J306" s="74" t="n">
        <x:v>7292.56</x:v>
      </x:c>
      <x:c r="K306" s="74" t="n">
        <x:v>12097.69</x:v>
      </x:c>
      <x:c r="L306" s="74" t="n">
        <x:v>4805.13</x:v>
      </x:c>
    </x:row>
    <x:row r="307">
      <x:c r="A307" s="65" t="str">
        <x:v>TX-1321</x:v>
      </x:c>
      <x:c r="B307" s="65" t="str">
        <x:v>2025-12-15</x:v>
      </x:c>
      <x:c r="C307" s="65" t="str">
        <x:v>Comercial</x:v>
      </x:c>
      <x:c r="D307" s="65" t="str">
        <x:v>Parceiros</x:v>
      </x:c>
      <x:c r="E307" s="65" t="str">
        <x:v>Sul</x:v>
      </x:c>
      <x:c r="F307" s="65" t="str">
        <x:v>Evo Saude</x:v>
      </x:c>
      <x:c r="G307" s="65" t="str">
        <x:v>Ana</x:v>
      </x:c>
      <x:c r="H307" s="74" t="n">
        <x:v>24748.58</x:v>
      </x:c>
      <x:c r="I307" s="74" t="n">
        <x:v>841.09</x:v>
      </x:c>
      <x:c r="J307" s="74" t="n">
        <x:v>12929.85</x:v>
      </x:c>
      <x:c r="K307" s="74" t="n">
        <x:v>23907.49</x:v>
      </x:c>
      <x:c r="L307" s="74" t="n">
        <x:v>10977.640000000001</x:v>
      </x:c>
    </x:row>
    <x:row r="308">
      <x:c r="A308" s="65" t="str">
        <x:v>TX-1301</x:v>
      </x:c>
      <x:c r="B308" s="65" t="str">
        <x:v>2025-12-15</x:v>
      </x:c>
      <x:c r="C308" s="65" t="str">
        <x:v>Comercial</x:v>
      </x:c>
      <x:c r="D308" s="65" t="str">
        <x:v>Direto</x:v>
      </x:c>
      <x:c r="E308" s="65" t="str">
        <x:v>Centro-Oeste</x:v>
      </x:c>
      <x:c r="F308" s="65" t="str">
        <x:v>Evo Saude</x:v>
      </x:c>
      <x:c r="G308" s="65" t="str">
        <x:v>Carla</x:v>
      </x:c>
      <x:c r="H308" s="74" t="n">
        <x:v>18788.49</x:v>
      </x:c>
      <x:c r="I308" s="74" t="n">
        <x:v>286.55</x:v>
      </x:c>
      <x:c r="J308" s="74" t="n">
        <x:v>9886.09</x:v>
      </x:c>
      <x:c r="K308" s="74" t="n">
        <x:v>18501.940000000002</x:v>
      </x:c>
      <x:c r="L308" s="74" t="n">
        <x:v>8615.850000000002</x:v>
      </x:c>
    </x:row>
    <x:row r="309">
      <x:c r="A309" s="65" t="str">
        <x:v>TX-1283</x:v>
      </x:c>
      <x:c r="B309" s="65" t="str">
        <x:v>2025-12-16</x:v>
      </x:c>
      <x:c r="C309" s="65" t="str">
        <x:v>Tecnologia</x:v>
      </x:c>
      <x:c r="D309" s="65" t="str">
        <x:v>Direto</x:v>
      </x:c>
      <x:c r="E309" s="65" t="str">
        <x:v>Sudeste</x:v>
      </x:c>
      <x:c r="F309" s="65" t="str">
        <x:v>Beta Logistica</x:v>
      </x:c>
      <x:c r="G309" s="65" t="str">
        <x:v>Felipe</x:v>
      </x:c>
      <x:c r="H309" s="74" t="n">
        <x:v>21173.18</x:v>
      </x:c>
      <x:c r="I309" s="74" t="n">
        <x:v>822.75</x:v>
      </x:c>
      <x:c r="J309" s="74" t="n">
        <x:v>12570.28</x:v>
      </x:c>
      <x:c r="K309" s="74" t="n">
        <x:v>20350.43</x:v>
      </x:c>
      <x:c r="L309" s="74" t="n">
        <x:v>7780.15</x:v>
      </x:c>
    </x:row>
    <x:row r="310">
      <x:c r="A310" s="65" t="str">
        <x:v>TX-1279</x:v>
      </x:c>
      <x:c r="B310" s="65" t="str">
        <x:v>2025-12-16</x:v>
      </x:c>
      <x:c r="C310" s="65" t="str">
        <x:v>Marketing</x:v>
      </x:c>
      <x:c r="D310" s="65" t="str">
        <x:v>Digital</x:v>
      </x:c>
      <x:c r="E310" s="65" t="str">
        <x:v>Nordeste</x:v>
      </x:c>
      <x:c r="F310" s="65" t="str">
        <x:v>Alfa Industria</x:v>
      </x:c>
      <x:c r="G310" s="65" t="str">
        <x:v>Ana</x:v>
      </x:c>
      <x:c r="H310" s="74" t="n">
        <x:v>10716.15</x:v>
      </x:c>
      <x:c r="I310" s="74" t="n">
        <x:v>503.72</x:v>
      </x:c>
      <x:c r="J310" s="74" t="n">
        <x:v>7741.39</x:v>
      </x:c>
      <x:c r="K310" s="74" t="n">
        <x:v>10212.43</x:v>
      </x:c>
      <x:c r="L310" s="74" t="n">
        <x:v>2471.04</x:v>
      </x:c>
    </x:row>
    <x:row r="311">
      <x:c r="A311" s="65" t="str">
        <x:v>TX-1298</x:v>
      </x:c>
      <x:c r="B311" s="65" t="str">
        <x:v>2025-12-16</x:v>
      </x:c>
      <x:c r="C311" s="65" t="str">
        <x:v>Comercial</x:v>
      </x:c>
      <x:c r="D311" s="65" t="str">
        <x:v>Digital</x:v>
      </x:c>
      <x:c r="E311" s="65" t="str">
        <x:v>Nordeste</x:v>
      </x:c>
      <x:c r="F311" s="65" t="str">
        <x:v>Alfa Industria</x:v>
      </x:c>
      <x:c r="G311" s="65" t="str">
        <x:v>Bruno</x:v>
      </x:c>
      <x:c r="H311" s="74" t="n">
        <x:v>20272.2</x:v>
      </x:c>
      <x:c r="I311" s="74" t="n">
        <x:v>1516.32</x:v>
      </x:c>
      <x:c r="J311" s="74" t="n">
        <x:v>10000.96</x:v>
      </x:c>
      <x:c r="K311" s="74" t="n">
        <x:v>18755.88</x:v>
      </x:c>
      <x:c r="L311" s="74" t="n">
        <x:v>8754.920000000002</x:v>
      </x:c>
    </x:row>
    <x:row r="312">
      <x:c r="A312" s="65" t="str">
        <x:v>TX-1276</x:v>
      </x:c>
      <x:c r="B312" s="65" t="str">
        <x:v>2025-12-16</x:v>
      </x:c>
      <x:c r="C312" s="65" t="str">
        <x:v>Operacoes</x:v>
      </x:c>
      <x:c r="D312" s="65" t="str">
        <x:v>Digital</x:v>
      </x:c>
      <x:c r="E312" s="65" t="str">
        <x:v>Nordeste</x:v>
      </x:c>
      <x:c r="F312" s="65" t="str">
        <x:v>Foco Energia</x:v>
      </x:c>
      <x:c r="G312" s="65" t="str">
        <x:v>Diego</x:v>
      </x:c>
      <x:c r="H312" s="74" t="n">
        <x:v>15368.28</x:v>
      </x:c>
      <x:c r="I312" s="74" t="n">
        <x:v>299</x:v>
      </x:c>
      <x:c r="J312" s="74" t="n">
        <x:v>10840.92</x:v>
      </x:c>
      <x:c r="K312" s="74" t="n">
        <x:v>15069.28</x:v>
      </x:c>
      <x:c r="L312" s="74" t="n">
        <x:v>4228.360000000001</x:v>
      </x:c>
    </x:row>
    <x:row r="313">
      <x:c r="A313" s="65" t="str">
        <x:v>TX-1320</x:v>
      </x:c>
      <x:c r="B313" s="65" t="str">
        <x:v>2025-12-17</x:v>
      </x:c>
      <x:c r="C313" s="65" t="str">
        <x:v>Tecnologia</x:v>
      </x:c>
      <x:c r="D313" s="65" t="str">
        <x:v>Parceiros</x:v>
      </x:c>
      <x:c r="E313" s="65" t="str">
        <x:v>Sudeste</x:v>
      </x:c>
      <x:c r="F313" s="65" t="str">
        <x:v>Gama Servicos</x:v>
      </x:c>
      <x:c r="G313" s="65" t="str">
        <x:v>Ana</x:v>
      </x:c>
      <x:c r="H313" s="74" t="n">
        <x:v>24838.14</x:v>
      </x:c>
      <x:c r="I313" s="74" t="n">
        <x:v>1494.58</x:v>
      </x:c>
      <x:c r="J313" s="74" t="n">
        <x:v>14918.54</x:v>
      </x:c>
      <x:c r="K313" s="74" t="n">
        <x:v>23343.559999999998</x:v>
      </x:c>
      <x:c r="L313" s="74" t="n">
        <x:v>8425.019999999997</x:v>
      </x:c>
    </x:row>
    <x:row r="314">
      <x:c r="A314" s="65" t="str">
        <x:v>TX-1286</x:v>
      </x:c>
      <x:c r="B314" s="65" t="str">
        <x:v>2025-12-17</x:v>
      </x:c>
      <x:c r="C314" s="65" t="str">
        <x:v>Marketing</x:v>
      </x:c>
      <x:c r="D314" s="65" t="str">
        <x:v>Digital</x:v>
      </x:c>
      <x:c r="E314" s="65" t="str">
        <x:v>Sudeste</x:v>
      </x:c>
      <x:c r="F314" s="65" t="str">
        <x:v>Crescer Educacao</x:v>
      </x:c>
      <x:c r="G314" s="65" t="str">
        <x:v>Felipe</x:v>
      </x:c>
      <x:c r="H314" s="74" t="n">
        <x:v>18757.1</x:v>
      </x:c>
      <x:c r="I314" s="74" t="n">
        <x:v>455.24</x:v>
      </x:c>
      <x:c r="J314" s="74" t="n">
        <x:v>13065.44</x:v>
      </x:c>
      <x:c r="K314" s="74" t="n">
        <x:v>18301.859999999997</x:v>
      </x:c>
      <x:c r="L314" s="74" t="n">
        <x:v>5236.419999999996</x:v>
      </x:c>
    </x:row>
    <x:row r="315">
      <x:c r="A315" s="65" t="str">
        <x:v>TX-1323</x:v>
      </x:c>
      <x:c r="B315" s="65" t="str">
        <x:v>2025-12-18</x:v>
      </x:c>
      <x:c r="C315" s="65" t="str">
        <x:v>Marketing</x:v>
      </x:c>
      <x:c r="D315" s="65" t="str">
        <x:v>Digital</x:v>
      </x:c>
      <x:c r="E315" s="65" t="str">
        <x:v>Nordeste</x:v>
      </x:c>
      <x:c r="F315" s="65" t="str">
        <x:v>Gama Servicos</x:v>
      </x:c>
      <x:c r="G315" s="65" t="str">
        <x:v>Bruno</x:v>
      </x:c>
      <x:c r="H315" s="74" t="n">
        <x:v>22378.97</x:v>
      </x:c>
      <x:c r="I315" s="74" t="n">
        <x:v>478.91</x:v>
      </x:c>
      <x:c r="J315" s="74" t="n">
        <x:v>15779.16</x:v>
      </x:c>
      <x:c r="K315" s="74" t="n">
        <x:v>21900.06</x:v>
      </x:c>
      <x:c r="L315" s="74" t="n">
        <x:v>6120.9000000000015</x:v>
      </x:c>
    </x:row>
    <x:row r="316">
      <x:c r="A316" s="65" t="str">
        <x:v>TX-1275</x:v>
      </x:c>
      <x:c r="B316" s="65" t="str">
        <x:v>2025-12-18</x:v>
      </x:c>
      <x:c r="C316" s="65" t="str">
        <x:v>Marketing</x:v>
      </x:c>
      <x:c r="D316" s="65" t="str">
        <x:v>Parceiros</x:v>
      </x:c>
      <x:c r="E316" s="65" t="str">
        <x:v>Nordeste</x:v>
      </x:c>
      <x:c r="F316" s="65" t="str">
        <x:v>Crescer Educacao</x:v>
      </x:c>
      <x:c r="G316" s="65" t="str">
        <x:v>Diego</x:v>
      </x:c>
      <x:c r="H316" s="74" t="n">
        <x:v>13339.79</x:v>
      </x:c>
      <x:c r="I316" s="74" t="n">
        <x:v>664.57</x:v>
      </x:c>
      <x:c r="J316" s="74" t="n">
        <x:v>8904.6</x:v>
      </x:c>
      <x:c r="K316" s="74" t="n">
        <x:v>12675.220000000001</x:v>
      </x:c>
      <x:c r="L316" s="74" t="n">
        <x:v>3770.620000000001</x:v>
      </x:c>
    </x:row>
    <x:row r="317">
      <x:c r="A317" s="65" t="str">
        <x:v>TX-1272</x:v>
      </x:c>
      <x:c r="B317" s="65" t="str">
        <x:v>2025-12-18</x:v>
      </x:c>
      <x:c r="C317" s="65" t="str">
        <x:v>Operacoes</x:v>
      </x:c>
      <x:c r="D317" s="65" t="str">
        <x:v>Parceiros</x:v>
      </x:c>
      <x:c r="E317" s="65" t="str">
        <x:v>Sudeste</x:v>
      </x:c>
      <x:c r="F317" s="65" t="str">
        <x:v>Delta Varejo</x:v>
      </x:c>
      <x:c r="G317" s="65" t="str">
        <x:v>Ana</x:v>
      </x:c>
      <x:c r="H317" s="74" t="n">
        <x:v>18470.37</x:v>
      </x:c>
      <x:c r="I317" s="74" t="n">
        <x:v>1106.24</x:v>
      </x:c>
      <x:c r="J317" s="74" t="n">
        <x:v>12205.47</x:v>
      </x:c>
      <x:c r="K317" s="74" t="n">
        <x:v>17364.129999999997</x:v>
      </x:c>
      <x:c r="L317" s="74" t="n">
        <x:v>5158.659999999998</x:v>
      </x:c>
    </x:row>
    <x:row r="318">
      <x:c r="A318" s="65" t="str">
        <x:v>TX-1306</x:v>
      </x:c>
      <x:c r="B318" s="65" t="str">
        <x:v>2025-12-19</x:v>
      </x:c>
      <x:c r="C318" s="65" t="str">
        <x:v>Operacoes</x:v>
      </x:c>
      <x:c r="D318" s="65" t="str">
        <x:v>Parceiros</x:v>
      </x:c>
      <x:c r="E318" s="65" t="str">
        <x:v>Sul</x:v>
      </x:c>
      <x:c r="F318" s="65" t="str">
        <x:v>Gama Servicos</x:v>
      </x:c>
      <x:c r="G318" s="65" t="str">
        <x:v>Ana</x:v>
      </x:c>
      <x:c r="H318" s="74" t="n">
        <x:v>20217.41</x:v>
      </x:c>
      <x:c r="I318" s="74" t="n">
        <x:v>676.34</x:v>
      </x:c>
      <x:c r="J318" s="74" t="n">
        <x:v>13802.82</x:v>
      </x:c>
      <x:c r="K318" s="74" t="n">
        <x:v>19541.07</x:v>
      </x:c>
      <x:c r="L318" s="74" t="n">
        <x:v>5738.25</x:v>
      </x:c>
    </x:row>
    <x:row r="319">
      <x:c r="A319" s="65" t="str">
        <x:v>TX-1284</x:v>
      </x:c>
      <x:c r="B319" s="65" t="str">
        <x:v>2025-12-21</x:v>
      </x:c>
      <x:c r="C319" s="65" t="str">
        <x:v>Tecnologia</x:v>
      </x:c>
      <x:c r="D319" s="65" t="str">
        <x:v>Direto</x:v>
      </x:c>
      <x:c r="E319" s="65" t="str">
        <x:v>Nordeste</x:v>
      </x:c>
      <x:c r="F319" s="65" t="str">
        <x:v>Crescer Educacao</x:v>
      </x:c>
      <x:c r="G319" s="65" t="str">
        <x:v>Carla</x:v>
      </x:c>
      <x:c r="H319" s="74" t="n">
        <x:v>22480.84</x:v>
      </x:c>
      <x:c r="I319" s="74" t="n">
        <x:v>1561.99</x:v>
      </x:c>
      <x:c r="J319" s="74" t="n">
        <x:v>13990.95</x:v>
      </x:c>
      <x:c r="K319" s="74" t="n">
        <x:v>20918.85</x:v>
      </x:c>
      <x:c r="L319" s="74" t="n">
        <x:v>6927.899999999998</x:v>
      </x:c>
    </x:row>
    <x:row r="320">
      <x:c r="A320" s="65" t="str">
        <x:v>TX-1315</x:v>
      </x:c>
      <x:c r="B320" s="65" t="str">
        <x:v>2025-12-22</x:v>
      </x:c>
      <x:c r="C320" s="65" t="str">
        <x:v>Tecnologia</x:v>
      </x:c>
      <x:c r="D320" s="65" t="str">
        <x:v>Direto</x:v>
      </x:c>
      <x:c r="E320" s="65" t="str">
        <x:v>Sudeste</x:v>
      </x:c>
      <x:c r="F320" s="65" t="str">
        <x:v>Beta Logistica</x:v>
      </x:c>
      <x:c r="G320" s="65" t="str">
        <x:v>Ana</x:v>
      </x:c>
      <x:c r="H320" s="74" t="n">
        <x:v>17524.74</x:v>
      </x:c>
      <x:c r="I320" s="74" t="n">
        <x:v>1375.05</x:v>
      </x:c>
      <x:c r="J320" s="74" t="n">
        <x:v>9746.82</x:v>
      </x:c>
      <x:c r="K320" s="74" t="n">
        <x:v>16149.690000000002</x:v>
      </x:c>
      <x:c r="L320" s="74" t="n">
        <x:v>6402.870000000003</x:v>
      </x:c>
    </x:row>
    <x:row r="321">
      <x:c r="A321" s="65" t="str">
        <x:v>TX-1299</x:v>
      </x:c>
      <x:c r="B321" s="65" t="str">
        <x:v>2025-12-24</x:v>
      </x:c>
      <x:c r="C321" s="65" t="str">
        <x:v>Marketing</x:v>
      </x:c>
      <x:c r="D321" s="65" t="str">
        <x:v>Direto</x:v>
      </x:c>
      <x:c r="E321" s="65" t="str">
        <x:v>Centro-Oeste</x:v>
      </x:c>
      <x:c r="F321" s="65" t="str">
        <x:v>Beta Logistica</x:v>
      </x:c>
      <x:c r="G321" s="65" t="str">
        <x:v>Felipe</x:v>
      </x:c>
      <x:c r="H321" s="74" t="n">
        <x:v>15957.01</x:v>
      </x:c>
      <x:c r="I321" s="74" t="n">
        <x:v>1011.86</x:v>
      </x:c>
      <x:c r="J321" s="74" t="n">
        <x:v>11085.5</x:v>
      </x:c>
      <x:c r="K321" s="74" t="n">
        <x:v>14945.15</x:v>
      </x:c>
      <x:c r="L321" s="74" t="n">
        <x:v>3859.6499999999996</x:v>
      </x:c>
    </x:row>
    <x:row r="322">
      <x:c r="A322" s="65" t="str">
        <x:v>TX-1300</x:v>
      </x:c>
      <x:c r="B322" s="65" t="str">
        <x:v>2025-12-24</x:v>
      </x:c>
      <x:c r="C322" s="65" t="str">
        <x:v>Tecnologia</x:v>
      </x:c>
      <x:c r="D322" s="65" t="str">
        <x:v>Parceiros</x:v>
      </x:c>
      <x:c r="E322" s="65" t="str">
        <x:v>Sul</x:v>
      </x:c>
      <x:c r="F322" s="65" t="str">
        <x:v>Delta Varejo</x:v>
      </x:c>
      <x:c r="G322" s="65" t="str">
        <x:v>Diego</x:v>
      </x:c>
      <x:c r="H322" s="74" t="n">
        <x:v>24427.06</x:v>
      </x:c>
      <x:c r="I322" s="74" t="n">
        <x:v>1697.32</x:v>
      </x:c>
      <x:c r="J322" s="74" t="n">
        <x:v>13416.06</x:v>
      </x:c>
      <x:c r="K322" s="74" t="n">
        <x:v>22729.74</x:v>
      </x:c>
      <x:c r="L322" s="74" t="n">
        <x:v>9313.680000000002</x:v>
      </x:c>
    </x:row>
    <x:row r="323">
      <x:c r="A323" s="65" t="str">
        <x:v>TX-1278</x:v>
      </x:c>
      <x:c r="B323" s="65" t="str">
        <x:v>2025-12-25</x:v>
      </x:c>
      <x:c r="C323" s="65" t="str">
        <x:v>Comercial</x:v>
      </x:c>
      <x:c r="D323" s="65" t="str">
        <x:v>Parceiros</x:v>
      </x:c>
      <x:c r="E323" s="65" t="str">
        <x:v>Nordeste</x:v>
      </x:c>
      <x:c r="F323" s="65" t="str">
        <x:v>Delta Varejo</x:v>
      </x:c>
      <x:c r="G323" s="65" t="str">
        <x:v>Ana</x:v>
      </x:c>
      <x:c r="H323" s="74" t="n">
        <x:v>23178.24</x:v>
      </x:c>
      <x:c r="I323" s="74" t="n">
        <x:v>1117.33</x:v>
      </x:c>
      <x:c r="J323" s="74" t="n">
        <x:v>12314.39</x:v>
      </x:c>
      <x:c r="K323" s="74" t="n">
        <x:v>22060.910000000003</x:v>
      </x:c>
      <x:c r="L323" s="74" t="n">
        <x:v>9746.520000000004</x:v>
      </x:c>
    </x:row>
    <x:row r="324">
      <x:c r="A324" s="65" t="str">
        <x:v>TX-1312</x:v>
      </x:c>
      <x:c r="B324" s="65" t="str">
        <x:v>2025-12-25</x:v>
      </x:c>
      <x:c r="C324" s="65" t="str">
        <x:v>Comercial</x:v>
      </x:c>
      <x:c r="D324" s="65" t="str">
        <x:v>Parceiros</x:v>
      </x:c>
      <x:c r="E324" s="65" t="str">
        <x:v>Sudeste</x:v>
      </x:c>
      <x:c r="F324" s="65" t="str">
        <x:v>Gama Servicos</x:v>
      </x:c>
      <x:c r="G324" s="65" t="str">
        <x:v>Felipe</x:v>
      </x:c>
      <x:c r="H324" s="74" t="n">
        <x:v>25844.76</x:v>
      </x:c>
      <x:c r="I324" s="74" t="n">
        <x:v>1963.38</x:v>
      </x:c>
      <x:c r="J324" s="74" t="n">
        <x:v>13235.26</x:v>
      </x:c>
      <x:c r="K324" s="74" t="n">
        <x:v>23881.379999999997</x:v>
      </x:c>
      <x:c r="L324" s="74" t="n">
        <x:v>10646.119999999997</x:v>
      </x:c>
    </x:row>
    <x:row r="325">
      <x:c r="A325" s="65" t="str">
        <x:v>TX-1305</x:v>
      </x:c>
      <x:c r="B325" s="65" t="str">
        <x:v>2025-12-25</x:v>
      </x:c>
      <x:c r="C325" s="65" t="str">
        <x:v>Comercial</x:v>
      </x:c>
      <x:c r="D325" s="65" t="str">
        <x:v>Direto</x:v>
      </x:c>
      <x:c r="E325" s="65" t="str">
        <x:v>Sudeste</x:v>
      </x:c>
      <x:c r="F325" s="65" t="str">
        <x:v>Delta Varejo</x:v>
      </x:c>
      <x:c r="G325" s="65" t="str">
        <x:v>Carla</x:v>
      </x:c>
      <x:c r="H325" s="74" t="n">
        <x:v>17509.15</x:v>
      </x:c>
      <x:c r="I325" s="74" t="n">
        <x:v>1001.41</x:v>
      </x:c>
      <x:c r="J325" s="74" t="n">
        <x:v>9619.52</x:v>
      </x:c>
      <x:c r="K325" s="74" t="n">
        <x:v>16507.74</x:v>
      </x:c>
      <x:c r="L325" s="74" t="n">
        <x:v>6888.220000000001</x:v>
      </x:c>
    </x:row>
    <x:row r="326">
      <x:c r="A326" s="65" t="str">
        <x:v>TX-1367</x:v>
      </x:c>
      <x:c r="B326" s="65" t="str">
        <x:v>2026-01-01</x:v>
      </x:c>
      <x:c r="C326" s="65" t="str">
        <x:v>Tecnologia</x:v>
      </x:c>
      <x:c r="D326" s="65" t="str">
        <x:v>Parceiros</x:v>
      </x:c>
      <x:c r="E326" s="65" t="str">
        <x:v>Sudeste</x:v>
      </x:c>
      <x:c r="F326" s="65" t="str">
        <x:v>Delta Varejo</x:v>
      </x:c>
      <x:c r="G326" s="65" t="str">
        <x:v>Diego</x:v>
      </x:c>
      <x:c r="H326" s="74" t="n">
        <x:v>17643.76</x:v>
      </x:c>
      <x:c r="I326" s="74" t="n">
        <x:v>494.61</x:v>
      </x:c>
      <x:c r="J326" s="74" t="n">
        <x:v>10929.05</x:v>
      </x:c>
      <x:c r="K326" s="74" t="n">
        <x:v>17149.149999999998</x:v>
      </x:c>
      <x:c r="L326" s="74" t="n">
        <x:v>6220.0999999999985</x:v>
      </x:c>
    </x:row>
    <x:row r="327">
      <x:c r="A327" s="65" t="str">
        <x:v>TX-1336</x:v>
      </x:c>
      <x:c r="B327" s="65" t="str">
        <x:v>2026-01-01</x:v>
      </x:c>
      <x:c r="C327" s="65" t="str">
        <x:v>Operacoes</x:v>
      </x:c>
      <x:c r="D327" s="65" t="str">
        <x:v>Direto</x:v>
      </x:c>
      <x:c r="E327" s="65" t="str">
        <x:v>Nordeste</x:v>
      </x:c>
      <x:c r="F327" s="65" t="str">
        <x:v>Evo Saude</x:v>
      </x:c>
      <x:c r="G327" s="65" t="str">
        <x:v>Bruno</x:v>
      </x:c>
      <x:c r="H327" s="74" t="n">
        <x:v>15782.3</x:v>
      </x:c>
      <x:c r="I327" s="74" t="n">
        <x:v>818.31</x:v>
      </x:c>
      <x:c r="J327" s="74" t="n">
        <x:v>9974.78</x:v>
      </x:c>
      <x:c r="K327" s="74" t="n">
        <x:v>14963.99</x:v>
      </x:c>
      <x:c r="L327" s="74" t="n">
        <x:v>4989.209999999999</x:v>
      </x:c>
    </x:row>
    <x:row r="328">
      <x:c r="A328" s="65" t="str">
        <x:v>TX-1376</x:v>
      </x:c>
      <x:c r="B328" s="65" t="str">
        <x:v>2026-01-01</x:v>
      </x:c>
      <x:c r="C328" s="65" t="str">
        <x:v>Operacoes</x:v>
      </x:c>
      <x:c r="D328" s="65" t="str">
        <x:v>Parceiros</x:v>
      </x:c>
      <x:c r="E328" s="65" t="str">
        <x:v>Centro-Oeste</x:v>
      </x:c>
      <x:c r="F328" s="65" t="str">
        <x:v>Alfa Industria</x:v>
      </x:c>
      <x:c r="G328" s="65" t="str">
        <x:v>Ana</x:v>
      </x:c>
      <x:c r="H328" s="74" t="n">
        <x:v>15769.78</x:v>
      </x:c>
      <x:c r="I328" s="74" t="n">
        <x:v>847.36</x:v>
      </x:c>
      <x:c r="J328" s="74" t="n">
        <x:v>10081.59</x:v>
      </x:c>
      <x:c r="K328" s="74" t="n">
        <x:v>14922.42</x:v>
      </x:c>
      <x:c r="L328" s="74" t="n">
        <x:v>4840.83</x:v>
      </x:c>
    </x:row>
    <x:row r="329">
      <x:c r="A329" s="65" t="str">
        <x:v>TX-1354</x:v>
      </x:c>
      <x:c r="B329" s="65" t="str">
        <x:v>2026-01-01</x:v>
      </x:c>
      <x:c r="C329" s="65" t="str">
        <x:v>Marketing</x:v>
      </x:c>
      <x:c r="D329" s="65" t="str">
        <x:v>Direto</x:v>
      </x:c>
      <x:c r="E329" s="65" t="str">
        <x:v>Centro-Oeste</x:v>
      </x:c>
      <x:c r="F329" s="65" t="str">
        <x:v>Crescer Educacao</x:v>
      </x:c>
      <x:c r="G329" s="65" t="str">
        <x:v>Ana</x:v>
      </x:c>
      <x:c r="H329" s="74" t="n">
        <x:v>6090.5</x:v>
      </x:c>
      <x:c r="I329" s="74" t="n">
        <x:v>94.48</x:v>
      </x:c>
      <x:c r="J329" s="74" t="n">
        <x:v>4356.38</x:v>
      </x:c>
      <x:c r="K329" s="74" t="n">
        <x:v>5996.02</x:v>
      </x:c>
      <x:c r="L329" s="74" t="n">
        <x:v>1639.6400000000003</x:v>
      </x:c>
    </x:row>
    <x:row r="330">
      <x:c r="A330" s="65" t="str">
        <x:v>TX-1332</x:v>
      </x:c>
      <x:c r="B330" s="65" t="str">
        <x:v>2026-01-02</x:v>
      </x:c>
      <x:c r="C330" s="65" t="str">
        <x:v>Marketing</x:v>
      </x:c>
      <x:c r="D330" s="65" t="str">
        <x:v>Parceiros</x:v>
      </x:c>
      <x:c r="E330" s="65" t="str">
        <x:v>Sul</x:v>
      </x:c>
      <x:c r="F330" s="65" t="str">
        <x:v>Crescer Educacao</x:v>
      </x:c>
      <x:c r="G330" s="65" t="str">
        <x:v>Carla</x:v>
      </x:c>
      <x:c r="H330" s="74" t="n">
        <x:v>18059.85</x:v>
      </x:c>
      <x:c r="I330" s="74" t="n">
        <x:v>595.01</x:v>
      </x:c>
      <x:c r="J330" s="74" t="n">
        <x:v>12730.03</x:v>
      </x:c>
      <x:c r="K330" s="74" t="n">
        <x:v>17464.84</x:v>
      </x:c>
      <x:c r="L330" s="74" t="n">
        <x:v>4734.8099999999995</x:v>
      </x:c>
    </x:row>
    <x:row r="331">
      <x:c r="A331" s="65" t="str">
        <x:v>TX-1359</x:v>
      </x:c>
      <x:c r="B331" s="65" t="str">
        <x:v>2026-01-02</x:v>
      </x:c>
      <x:c r="C331" s="65" t="str">
        <x:v>Operacoes</x:v>
      </x:c>
      <x:c r="D331" s="65" t="str">
        <x:v>Digital</x:v>
      </x:c>
      <x:c r="E331" s="65" t="str">
        <x:v>Centro-Oeste</x:v>
      </x:c>
      <x:c r="F331" s="65" t="str">
        <x:v>Foco Energia</x:v>
      </x:c>
      <x:c r="G331" s="65" t="str">
        <x:v>Felipe</x:v>
      </x:c>
      <x:c r="H331" s="74" t="n">
        <x:v>16799.4</x:v>
      </x:c>
      <x:c r="I331" s="74" t="n">
        <x:v>1019.09</x:v>
      </x:c>
      <x:c r="J331" s="74" t="n">
        <x:v>10522.41</x:v>
      </x:c>
      <x:c r="K331" s="74" t="n">
        <x:v>15780.310000000001</x:v>
      </x:c>
      <x:c r="L331" s="74" t="n">
        <x:v>5257.9000000000015</x:v>
      </x:c>
    </x:row>
    <x:row r="332">
      <x:c r="A332" s="65" t="str">
        <x:v>TX-1372</x:v>
      </x:c>
      <x:c r="B332" s="65" t="str">
        <x:v>2026-01-02</x:v>
      </x:c>
      <x:c r="C332" s="65" t="str">
        <x:v>Comercial</x:v>
      </x:c>
      <x:c r="D332" s="65" t="str">
        <x:v>Digital</x:v>
      </x:c>
      <x:c r="E332" s="65" t="str">
        <x:v>Centro-Oeste</x:v>
      </x:c>
      <x:c r="F332" s="65" t="str">
        <x:v>Foco Energia</x:v>
      </x:c>
      <x:c r="G332" s="65" t="str">
        <x:v>Felipe</x:v>
      </x:c>
      <x:c r="H332" s="74" t="n">
        <x:v>20611.72</x:v>
      </x:c>
      <x:c r="I332" s="74" t="n">
        <x:v>1117.44</x:v>
      </x:c>
      <x:c r="J332" s="74" t="n">
        <x:v>10959.05</x:v>
      </x:c>
      <x:c r="K332" s="74" t="n">
        <x:v>19494.280000000002</x:v>
      </x:c>
      <x:c r="L332" s="74" t="n">
        <x:v>8535.230000000003</x:v>
      </x:c>
    </x:row>
    <x:row r="333">
      <x:c r="A333" s="65" t="str">
        <x:v>TX-1331</x:v>
      </x:c>
      <x:c r="B333" s="65" t="str">
        <x:v>2026-01-02</x:v>
      </x:c>
      <x:c r="C333" s="65" t="str">
        <x:v>Tecnologia</x:v>
      </x:c>
      <x:c r="D333" s="65" t="str">
        <x:v>Direto</x:v>
      </x:c>
      <x:c r="E333" s="65" t="str">
        <x:v>Centro-Oeste</x:v>
      </x:c>
      <x:c r="F333" s="65" t="str">
        <x:v>Beta Logistica</x:v>
      </x:c>
      <x:c r="G333" s="65" t="str">
        <x:v>Bruno</x:v>
      </x:c>
      <x:c r="H333" s="74" t="n">
        <x:v>22083.6</x:v>
      </x:c>
      <x:c r="I333" s="74" t="n">
        <x:v>827.95</x:v>
      </x:c>
      <x:c r="J333" s="74" t="n">
        <x:v>13316.24</x:v>
      </x:c>
      <x:c r="K333" s="74" t="n">
        <x:v>21255.649999999998</x:v>
      </x:c>
      <x:c r="L333" s="74" t="n">
        <x:v>7939.409999999998</x:v>
      </x:c>
    </x:row>
    <x:row r="334">
      <x:c r="A334" s="65" t="str">
        <x:v>TX-1329</x:v>
      </x:c>
      <x:c r="B334" s="65" t="str">
        <x:v>2026-01-03</x:v>
      </x:c>
      <x:c r="C334" s="65" t="str">
        <x:v>Marketing</x:v>
      </x:c>
      <x:c r="D334" s="65" t="str">
        <x:v>Direto</x:v>
      </x:c>
      <x:c r="E334" s="65" t="str">
        <x:v>Sudeste</x:v>
      </x:c>
      <x:c r="F334" s="65" t="str">
        <x:v>Foco Energia</x:v>
      </x:c>
      <x:c r="G334" s="65" t="str">
        <x:v>Elisa</x:v>
      </x:c>
      <x:c r="H334" s="74" t="n">
        <x:v>16099.5</x:v>
      </x:c>
      <x:c r="I334" s="74" t="n">
        <x:v>266.11</x:v>
      </x:c>
      <x:c r="J334" s="74" t="n">
        <x:v>11840.93</x:v>
      </x:c>
      <x:c r="K334" s="74" t="n">
        <x:v>15833.39</x:v>
      </x:c>
      <x:c r="L334" s="74" t="n">
        <x:v>3992.459999999999</x:v>
      </x:c>
    </x:row>
    <x:row r="335">
      <x:c r="A335" s="65" t="str">
        <x:v>TX-1347</x:v>
      </x:c>
      <x:c r="B335" s="65" t="str">
        <x:v>2026-01-03</x:v>
      </x:c>
      <x:c r="C335" s="65" t="str">
        <x:v>Tecnologia</x:v>
      </x:c>
      <x:c r="D335" s="65" t="str">
        <x:v>Direto</x:v>
      </x:c>
      <x:c r="E335" s="65" t="str">
        <x:v>Nordeste</x:v>
      </x:c>
      <x:c r="F335" s="65" t="str">
        <x:v>Gama Servicos</x:v>
      </x:c>
      <x:c r="G335" s="65" t="str">
        <x:v>Felipe</x:v>
      </x:c>
      <x:c r="H335" s="74" t="n">
        <x:v>21381.81</x:v>
      </x:c>
      <x:c r="I335" s="74" t="n">
        <x:v>1338.64</x:v>
      </x:c>
      <x:c r="J335" s="74" t="n">
        <x:v>12475.91</x:v>
      </x:c>
      <x:c r="K335" s="74" t="n">
        <x:v>20043.170000000002</x:v>
      </x:c>
      <x:c r="L335" s="74" t="n">
        <x:v>7567.260000000002</x:v>
      </x:c>
    </x:row>
    <x:row r="336">
      <x:c r="A336" s="65" t="str">
        <x:v>TX-1334</x:v>
      </x:c>
      <x:c r="B336" s="65" t="str">
        <x:v>2026-01-05</x:v>
      </x:c>
      <x:c r="C336" s="65" t="str">
        <x:v>Marketing</x:v>
      </x:c>
      <x:c r="D336" s="65" t="str">
        <x:v>Direto</x:v>
      </x:c>
      <x:c r="E336" s="65" t="str">
        <x:v>Centro-Oeste</x:v>
      </x:c>
      <x:c r="F336" s="65" t="str">
        <x:v>Evo Saude</x:v>
      </x:c>
      <x:c r="G336" s="65" t="str">
        <x:v>Diego</x:v>
      </x:c>
      <x:c r="H336" s="74" t="n">
        <x:v>13687.65</x:v>
      </x:c>
      <x:c r="I336" s="74" t="n">
        <x:v>1063.96</x:v>
      </x:c>
      <x:c r="J336" s="74" t="n">
        <x:v>9467.39</x:v>
      </x:c>
      <x:c r="K336" s="74" t="n">
        <x:v>12623.689999999999</x:v>
      </x:c>
      <x:c r="L336" s="74" t="n">
        <x:v>3156.2999999999993</x:v>
      </x:c>
    </x:row>
    <x:row r="337">
      <x:c r="A337" s="65" t="str">
        <x:v>TX-1335</x:v>
      </x:c>
      <x:c r="B337" s="65" t="str">
        <x:v>2026-01-05</x:v>
      </x:c>
      <x:c r="C337" s="65" t="str">
        <x:v>Operacoes</x:v>
      </x:c>
      <x:c r="D337" s="65" t="str">
        <x:v>Digital</x:v>
      </x:c>
      <x:c r="E337" s="65" t="str">
        <x:v>Sudeste</x:v>
      </x:c>
      <x:c r="F337" s="65" t="str">
        <x:v>Crescer Educacao</x:v>
      </x:c>
      <x:c r="G337" s="65" t="str">
        <x:v>Diego</x:v>
      </x:c>
      <x:c r="H337" s="74" t="n">
        <x:v>23205.14</x:v>
      </x:c>
      <x:c r="I337" s="74" t="n">
        <x:v>659.99</x:v>
      </x:c>
      <x:c r="J337" s="74" t="n">
        <x:v>15743.37</x:v>
      </x:c>
      <x:c r="K337" s="74" t="n">
        <x:v>22545.149999999998</x:v>
      </x:c>
      <x:c r="L337" s="74" t="n">
        <x:v>6801.779999999997</x:v>
      </x:c>
    </x:row>
    <x:row r="338">
      <x:c r="A338" s="65" t="str">
        <x:v>TX-1337</x:v>
      </x:c>
      <x:c r="B338" s="65" t="str">
        <x:v>2026-01-07</x:v>
      </x:c>
      <x:c r="C338" s="65" t="str">
        <x:v>Operacoes</x:v>
      </x:c>
      <x:c r="D338" s="65" t="str">
        <x:v>Direto</x:v>
      </x:c>
      <x:c r="E338" s="65" t="str">
        <x:v>Sudeste</x:v>
      </x:c>
      <x:c r="F338" s="65" t="str">
        <x:v>Crescer Educacao</x:v>
      </x:c>
      <x:c r="G338" s="65" t="str">
        <x:v>Bruno</x:v>
      </x:c>
      <x:c r="H338" s="74" t="n">
        <x:v>15202.87</x:v>
      </x:c>
      <x:c r="I338" s="74" t="n">
        <x:v>1149.24</x:v>
      </x:c>
      <x:c r="J338" s="74" t="n">
        <x:v>9618.2</x:v>
      </x:c>
      <x:c r="K338" s="74" t="n">
        <x:v>14053.630000000001</x:v>
      </x:c>
      <x:c r="L338" s="74" t="n">
        <x:v>4435.43</x:v>
      </x:c>
    </x:row>
    <x:row r="339">
      <x:c r="A339" s="65" t="str">
        <x:v>TX-1377</x:v>
      </x:c>
      <x:c r="B339" s="65" t="str">
        <x:v>2026-01-07</x:v>
      </x:c>
      <x:c r="C339" s="65" t="str">
        <x:v>Tecnologia</x:v>
      </x:c>
      <x:c r="D339" s="65" t="str">
        <x:v>Parceiros</x:v>
      </x:c>
      <x:c r="E339" s="65" t="str">
        <x:v>Nordeste</x:v>
      </x:c>
      <x:c r="F339" s="65" t="str">
        <x:v>Beta Logistica</x:v>
      </x:c>
      <x:c r="G339" s="65" t="str">
        <x:v>Bruno</x:v>
      </x:c>
      <x:c r="H339" s="74" t="n">
        <x:v>12314.66</x:v>
      </x:c>
      <x:c r="I339" s="74" t="n">
        <x:v>708.51</x:v>
      </x:c>
      <x:c r="J339" s="74" t="n">
        <x:v>7457.25</x:v>
      </x:c>
      <x:c r="K339" s="74" t="n">
        <x:v>11606.15</x:v>
      </x:c>
      <x:c r="L339" s="74" t="n">
        <x:v>4148.9</x:v>
      </x:c>
    </x:row>
    <x:row r="340">
      <x:c r="A340" s="65" t="str">
        <x:v>TX-1324</x:v>
      </x:c>
      <x:c r="B340" s="65" t="str">
        <x:v>2026-01-07</x:v>
      </x:c>
      <x:c r="C340" s="65" t="str">
        <x:v>Operacoes</x:v>
      </x:c>
      <x:c r="D340" s="65" t="str">
        <x:v>Direto</x:v>
      </x:c>
      <x:c r="E340" s="65" t="str">
        <x:v>Centro-Oeste</x:v>
      </x:c>
      <x:c r="F340" s="65" t="str">
        <x:v>Alfa Industria</x:v>
      </x:c>
      <x:c r="G340" s="65" t="str">
        <x:v>Elisa</x:v>
      </x:c>
      <x:c r="H340" s="74" t="n">
        <x:v>18297.62</x:v>
      </x:c>
      <x:c r="I340" s="74" t="n">
        <x:v>1371.16</x:v>
      </x:c>
      <x:c r="J340" s="74" t="n">
        <x:v>11762.2</x:v>
      </x:c>
      <x:c r="K340" s="74" t="n">
        <x:v>16926.46</x:v>
      </x:c>
      <x:c r="L340" s="74" t="n">
        <x:v>5164.259999999998</x:v>
      </x:c>
    </x:row>
    <x:row r="341">
      <x:c r="A341" s="65" t="str">
        <x:v>TX-1325</x:v>
      </x:c>
      <x:c r="B341" s="65" t="str">
        <x:v>2026-01-07</x:v>
      </x:c>
      <x:c r="C341" s="65" t="str">
        <x:v>Comercial</x:v>
      </x:c>
      <x:c r="D341" s="65" t="str">
        <x:v>Parceiros</x:v>
      </x:c>
      <x:c r="E341" s="65" t="str">
        <x:v>Sul</x:v>
      </x:c>
      <x:c r="F341" s="65" t="str">
        <x:v>Horizonte Tech</x:v>
      </x:c>
      <x:c r="G341" s="65" t="str">
        <x:v>Carla</x:v>
      </x:c>
      <x:c r="H341" s="74" t="n">
        <x:v>23482.69</x:v>
      </x:c>
      <x:c r="I341" s="74" t="n">
        <x:v>551.98</x:v>
      </x:c>
      <x:c r="J341" s="74" t="n">
        <x:v>12860.96</x:v>
      </x:c>
      <x:c r="K341" s="74" t="n">
        <x:v>22930.71</x:v>
      </x:c>
      <x:c r="L341" s="74" t="n">
        <x:v>10069.75</x:v>
      </x:c>
    </x:row>
    <x:row r="342">
      <x:c r="A342" s="65" t="str">
        <x:v>TX-1351</x:v>
      </x:c>
      <x:c r="B342" s="65" t="str">
        <x:v>2026-01-08</x:v>
      </x:c>
      <x:c r="C342" s="65" t="str">
        <x:v>Marketing</x:v>
      </x:c>
      <x:c r="D342" s="65" t="str">
        <x:v>Parceiros</x:v>
      </x:c>
      <x:c r="E342" s="65" t="str">
        <x:v>Sul</x:v>
      </x:c>
      <x:c r="F342" s="65" t="str">
        <x:v>Foco Energia</x:v>
      </x:c>
      <x:c r="G342" s="65" t="str">
        <x:v>Ana</x:v>
      </x:c>
      <x:c r="H342" s="74" t="n">
        <x:v>12061.42</x:v>
      </x:c>
      <x:c r="I342" s="74" t="n">
        <x:v>636.08</x:v>
      </x:c>
      <x:c r="J342" s="74" t="n">
        <x:v>8071.26</x:v>
      </x:c>
      <x:c r="K342" s="74" t="n">
        <x:v>11425.34</x:v>
      </x:c>
      <x:c r="L342" s="74" t="n">
        <x:v>3354.08</x:v>
      </x:c>
    </x:row>
    <x:row r="343">
      <x:c r="A343" s="65" t="str">
        <x:v>TX-1355</x:v>
      </x:c>
      <x:c r="B343" s="65" t="str">
        <x:v>2026-01-08</x:v>
      </x:c>
      <x:c r="C343" s="65" t="str">
        <x:v>Comercial</x:v>
      </x:c>
      <x:c r="D343" s="65" t="str">
        <x:v>Digital</x:v>
      </x:c>
      <x:c r="E343" s="65" t="str">
        <x:v>Sudeste</x:v>
      </x:c>
      <x:c r="F343" s="65" t="str">
        <x:v>Horizonte Tech</x:v>
      </x:c>
      <x:c r="G343" s="65" t="str">
        <x:v>Ana</x:v>
      </x:c>
      <x:c r="H343" s="74" t="n">
        <x:v>22453.76</x:v>
      </x:c>
      <x:c r="I343" s="74" t="n">
        <x:v>1004.59</x:v>
      </x:c>
      <x:c r="J343" s="74" t="n">
        <x:v>12255.78</x:v>
      </x:c>
      <x:c r="K343" s="74" t="n">
        <x:v>21449.17</x:v>
      </x:c>
      <x:c r="L343" s="74" t="n">
        <x:v>9193.389999999998</x:v>
      </x:c>
    </x:row>
    <x:row r="344">
      <x:c r="A344" s="65" t="str">
        <x:v>TX-1326</x:v>
      </x:c>
      <x:c r="B344" s="65" t="str">
        <x:v>2026-01-08</x:v>
      </x:c>
      <x:c r="C344" s="65" t="str">
        <x:v>Tecnologia</x:v>
      </x:c>
      <x:c r="D344" s="65" t="str">
        <x:v>Digital</x:v>
      </x:c>
      <x:c r="E344" s="65" t="str">
        <x:v>Nordeste</x:v>
      </x:c>
      <x:c r="F344" s="65" t="str">
        <x:v>Horizonte Tech</x:v>
      </x:c>
      <x:c r="G344" s="65" t="str">
        <x:v>Carla</x:v>
      </x:c>
      <x:c r="H344" s="74" t="n">
        <x:v>22876.6</x:v>
      </x:c>
      <x:c r="I344" s="74" t="n">
        <x:v>269.13</x:v>
      </x:c>
      <x:c r="J344" s="74" t="n">
        <x:v>14668.67</x:v>
      </x:c>
      <x:c r="K344" s="74" t="n">
        <x:v>22607.469999999998</x:v>
      </x:c>
      <x:c r="L344" s="74" t="n">
        <x:v>7938.799999999997</x:v>
      </x:c>
    </x:row>
    <x:row r="345">
      <x:c r="A345" s="65" t="str">
        <x:v>TX-1343</x:v>
      </x:c>
      <x:c r="B345" s="65" t="str">
        <x:v>2026-01-09</x:v>
      </x:c>
      <x:c r="C345" s="65" t="str">
        <x:v>Tecnologia</x:v>
      </x:c>
      <x:c r="D345" s="65" t="str">
        <x:v>Parceiros</x:v>
      </x:c>
      <x:c r="E345" s="65" t="str">
        <x:v>Sul</x:v>
      </x:c>
      <x:c r="F345" s="65" t="str">
        <x:v>Evo Saude</x:v>
      </x:c>
      <x:c r="G345" s="65" t="str">
        <x:v>Bruno</x:v>
      </x:c>
      <x:c r="H345" s="74" t="n">
        <x:v>23415.13</x:v>
      </x:c>
      <x:c r="I345" s="74" t="n">
        <x:v>720.74</x:v>
      </x:c>
      <x:c r="J345" s="74" t="n">
        <x:v>14598.78</x:v>
      </x:c>
      <x:c r="K345" s="74" t="n">
        <x:v>22694.39</x:v>
      </x:c>
      <x:c r="L345" s="74" t="n">
        <x:v>8095.609999999999</x:v>
      </x:c>
    </x:row>
    <x:row r="346">
      <x:c r="A346" s="65" t="str">
        <x:v>TX-1344</x:v>
      </x:c>
      <x:c r="B346" s="65" t="str">
        <x:v>2026-01-09</x:v>
      </x:c>
      <x:c r="C346" s="65" t="str">
        <x:v>Tecnologia</x:v>
      </x:c>
      <x:c r="D346" s="65" t="str">
        <x:v>Parceiros</x:v>
      </x:c>
      <x:c r="E346" s="65" t="str">
        <x:v>Sudeste</x:v>
      </x:c>
      <x:c r="F346" s="65" t="str">
        <x:v>Crescer Educacao</x:v>
      </x:c>
      <x:c r="G346" s="65" t="str">
        <x:v>Elisa</x:v>
      </x:c>
      <x:c r="H346" s="74" t="n">
        <x:v>14275.02</x:v>
      </x:c>
      <x:c r="I346" s="74" t="n">
        <x:v>404.45</x:v>
      </x:c>
      <x:c r="J346" s="74" t="n">
        <x:v>8594.87</x:v>
      </x:c>
      <x:c r="K346" s="74" t="n">
        <x:v>13870.57</x:v>
      </x:c>
      <x:c r="L346" s="74" t="n">
        <x:v>5275.699999999999</x:v>
      </x:c>
    </x:row>
    <x:row r="347">
      <x:c r="A347" s="65" t="str">
        <x:v>TX-1366</x:v>
      </x:c>
      <x:c r="B347" s="65" t="str">
        <x:v>2026-01-09</x:v>
      </x:c>
      <x:c r="C347" s="65" t="str">
        <x:v>Comercial</x:v>
      </x:c>
      <x:c r="D347" s="65" t="str">
        <x:v>Digital</x:v>
      </x:c>
      <x:c r="E347" s="65" t="str">
        <x:v>Centro-Oeste</x:v>
      </x:c>
      <x:c r="F347" s="65" t="str">
        <x:v>Crescer Educacao</x:v>
      </x:c>
      <x:c r="G347" s="65" t="str">
        <x:v>Diego</x:v>
      </x:c>
      <x:c r="H347" s="74" t="n">
        <x:v>27256.09</x:v>
      </x:c>
      <x:c r="I347" s="74" t="n">
        <x:v>409.67</x:v>
      </x:c>
      <x:c r="J347" s="74" t="n">
        <x:v>14041.04</x:v>
      </x:c>
      <x:c r="K347" s="74" t="n">
        <x:v>26846.420000000002</x:v>
      </x:c>
      <x:c r="L347" s="74" t="n">
        <x:v>12805.380000000001</x:v>
      </x:c>
    </x:row>
    <x:row r="348">
      <x:c r="A348" s="65" t="str">
        <x:v>TX-1356</x:v>
      </x:c>
      <x:c r="B348" s="65" t="str">
        <x:v>2026-01-09</x:v>
      </x:c>
      <x:c r="C348" s="65" t="str">
        <x:v>Tecnologia</x:v>
      </x:c>
      <x:c r="D348" s="65" t="str">
        <x:v>Direto</x:v>
      </x:c>
      <x:c r="E348" s="65" t="str">
        <x:v>Sudeste</x:v>
      </x:c>
      <x:c r="F348" s="65" t="str">
        <x:v>Beta Logistica</x:v>
      </x:c>
      <x:c r="G348" s="65" t="str">
        <x:v>Ana</x:v>
      </x:c>
      <x:c r="H348" s="74" t="n">
        <x:v>24780.89</x:v>
      </x:c>
      <x:c r="I348" s="74" t="n">
        <x:v>703.56</x:v>
      </x:c>
      <x:c r="J348" s="74" t="n">
        <x:v>16772.14</x:v>
      </x:c>
      <x:c r="K348" s="74" t="n">
        <x:v>24077.329999999998</x:v>
      </x:c>
      <x:c r="L348" s="74" t="n">
        <x:v>7305.189999999999</x:v>
      </x:c>
    </x:row>
    <x:row r="349">
      <x:c r="A349" s="65" t="str">
        <x:v>TX-1368</x:v>
      </x:c>
      <x:c r="B349" s="65" t="str">
        <x:v>2026-01-10</x:v>
      </x:c>
      <x:c r="C349" s="65" t="str">
        <x:v>Tecnologia</x:v>
      </x:c>
      <x:c r="D349" s="65" t="str">
        <x:v>Digital</x:v>
      </x:c>
      <x:c r="E349" s="65" t="str">
        <x:v>Sudeste</x:v>
      </x:c>
      <x:c r="F349" s="65" t="str">
        <x:v>Beta Logistica</x:v>
      </x:c>
      <x:c r="G349" s="65" t="str">
        <x:v>Diego</x:v>
      </x:c>
      <x:c r="H349" s="74" t="n">
        <x:v>23691.08</x:v>
      </x:c>
      <x:c r="I349" s="74" t="n">
        <x:v>1485.79</x:v>
      </x:c>
      <x:c r="J349" s="74" t="n">
        <x:v>13657.61</x:v>
      </x:c>
      <x:c r="K349" s="74" t="n">
        <x:v>22205.29</x:v>
      </x:c>
      <x:c r="L349" s="74" t="n">
        <x:v>8547.68</x:v>
      </x:c>
    </x:row>
    <x:row r="350">
      <x:c r="A350" s="65" t="str">
        <x:v>TX-1342</x:v>
      </x:c>
      <x:c r="B350" s="65" t="str">
        <x:v>2026-01-11</x:v>
      </x:c>
      <x:c r="C350" s="65" t="str">
        <x:v>Operacoes</x:v>
      </x:c>
      <x:c r="D350" s="65" t="str">
        <x:v>Digital</x:v>
      </x:c>
      <x:c r="E350" s="65" t="str">
        <x:v>Sul</x:v>
      </x:c>
      <x:c r="F350" s="65" t="str">
        <x:v>Beta Logistica</x:v>
      </x:c>
      <x:c r="G350" s="65" t="str">
        <x:v>Felipe</x:v>
      </x:c>
      <x:c r="H350" s="74" t="n">
        <x:v>11343.06</x:v>
      </x:c>
      <x:c r="I350" s="74" t="n">
        <x:v>867.63</x:v>
      </x:c>
      <x:c r="J350" s="74" t="n">
        <x:v>7683.86</x:v>
      </x:c>
      <x:c r="K350" s="74" t="n">
        <x:v>10475.43</x:v>
      </x:c>
      <x:c r="L350" s="74" t="n">
        <x:v>2791.5700000000006</x:v>
      </x:c>
    </x:row>
    <x:row r="351">
      <x:c r="A351" s="65" t="str">
        <x:v>TX-1361</x:v>
      </x:c>
      <x:c r="B351" s="65" t="str">
        <x:v>2026-01-11</x:v>
      </x:c>
      <x:c r="C351" s="65" t="str">
        <x:v>Operacoes</x:v>
      </x:c>
      <x:c r="D351" s="65" t="str">
        <x:v>Parceiros</x:v>
      </x:c>
      <x:c r="E351" s="65" t="str">
        <x:v>Sudeste</x:v>
      </x:c>
      <x:c r="F351" s="65" t="str">
        <x:v>Evo Saude</x:v>
      </x:c>
      <x:c r="G351" s="65" t="str">
        <x:v>Elisa</x:v>
      </x:c>
      <x:c r="H351" s="74" t="n">
        <x:v>25774.95</x:v>
      </x:c>
      <x:c r="I351" s="74" t="n">
        <x:v>1161.07</x:v>
      </x:c>
      <x:c r="J351" s="74" t="n">
        <x:v>16189.15</x:v>
      </x:c>
      <x:c r="K351" s="74" t="n">
        <x:v>24613.88</x:v>
      </x:c>
      <x:c r="L351" s="74" t="n">
        <x:v>8424.730000000001</x:v>
      </x:c>
    </x:row>
    <x:row r="352">
      <x:c r="A352" s="65" t="str">
        <x:v>TX-1363</x:v>
      </x:c>
      <x:c r="B352" s="65" t="str">
        <x:v>2026-01-11</x:v>
      </x:c>
      <x:c r="C352" s="65" t="str">
        <x:v>Tecnologia</x:v>
      </x:c>
      <x:c r="D352" s="65" t="str">
        <x:v>Digital</x:v>
      </x:c>
      <x:c r="E352" s="65" t="str">
        <x:v>Sul</x:v>
      </x:c>
      <x:c r="F352" s="65" t="str">
        <x:v>Gama Servicos</x:v>
      </x:c>
      <x:c r="G352" s="65" t="str">
        <x:v>Bruno</x:v>
      </x:c>
      <x:c r="H352" s="74" t="n">
        <x:v>20301.49</x:v>
      </x:c>
      <x:c r="I352" s="74" t="n">
        <x:v>859.89</x:v>
      </x:c>
      <x:c r="J352" s="74" t="n">
        <x:v>11442.46</x:v>
      </x:c>
      <x:c r="K352" s="74" t="n">
        <x:v>19441.600000000002</x:v>
      </x:c>
      <x:c r="L352" s="74" t="n">
        <x:v>7999.140000000003</x:v>
      </x:c>
    </x:row>
    <x:row r="353">
      <x:c r="A353" s="65" t="str">
        <x:v>TX-1353</x:v>
      </x:c>
      <x:c r="B353" s="65" t="str">
        <x:v>2026-01-12</x:v>
      </x:c>
      <x:c r="C353" s="65" t="str">
        <x:v>Tecnologia</x:v>
      </x:c>
      <x:c r="D353" s="65" t="str">
        <x:v>Parceiros</x:v>
      </x:c>
      <x:c r="E353" s="65" t="str">
        <x:v>Sul</x:v>
      </x:c>
      <x:c r="F353" s="65" t="str">
        <x:v>Crescer Educacao</x:v>
      </x:c>
      <x:c r="G353" s="65" t="str">
        <x:v>Diego</x:v>
      </x:c>
      <x:c r="H353" s="74" t="n">
        <x:v>25257.39</x:v>
      </x:c>
      <x:c r="I353" s="74" t="n">
        <x:v>826.55</x:v>
      </x:c>
      <x:c r="J353" s="74" t="n">
        <x:v>14944.35</x:v>
      </x:c>
      <x:c r="K353" s="74" t="n">
        <x:v>24430.84</x:v>
      </x:c>
      <x:c r="L353" s="74" t="n">
        <x:v>9486.49</x:v>
      </x:c>
    </x:row>
    <x:row r="354">
      <x:c r="A354" s="65" t="str">
        <x:v>TX-1339</x:v>
      </x:c>
      <x:c r="B354" s="65" t="str">
        <x:v>2026-01-12</x:v>
      </x:c>
      <x:c r="C354" s="65" t="str">
        <x:v>Marketing</x:v>
      </x:c>
      <x:c r="D354" s="65" t="str">
        <x:v>Digital</x:v>
      </x:c>
      <x:c r="E354" s="65" t="str">
        <x:v>Sudeste</x:v>
      </x:c>
      <x:c r="F354" s="65" t="str">
        <x:v>Evo Saude</x:v>
      </x:c>
      <x:c r="G354" s="65" t="str">
        <x:v>Felipe</x:v>
      </x:c>
      <x:c r="H354" s="74" t="n">
        <x:v>17531.2</x:v>
      </x:c>
      <x:c r="I354" s="74" t="n">
        <x:v>1307.21</x:v>
      </x:c>
      <x:c r="J354" s="74" t="n">
        <x:v>11337.64</x:v>
      </x:c>
      <x:c r="K354" s="74" t="n">
        <x:v>16223.990000000002</x:v>
      </x:c>
      <x:c r="L354" s="74" t="n">
        <x:v>4886.350000000002</x:v>
      </x:c>
    </x:row>
    <x:row r="355">
      <x:c r="A355" s="65" t="str">
        <x:v>TX-1333</x:v>
      </x:c>
      <x:c r="B355" s="65" t="str">
        <x:v>2026-01-13</x:v>
      </x:c>
      <x:c r="C355" s="65" t="str">
        <x:v>Comercial</x:v>
      </x:c>
      <x:c r="D355" s="65" t="str">
        <x:v>Parceiros</x:v>
      </x:c>
      <x:c r="E355" s="65" t="str">
        <x:v>Centro-Oeste</x:v>
      </x:c>
      <x:c r="F355" s="65" t="str">
        <x:v>Horizonte Tech</x:v>
      </x:c>
      <x:c r="G355" s="65" t="str">
        <x:v>Bruno</x:v>
      </x:c>
      <x:c r="H355" s="74" t="n">
        <x:v>31652.8</x:v>
      </x:c>
      <x:c r="I355" s="74" t="n">
        <x:v>1570.15</x:v>
      </x:c>
      <x:c r="J355" s="74" t="n">
        <x:v>16528.69</x:v>
      </x:c>
      <x:c r="K355" s="74" t="n">
        <x:v>30082.649999999998</x:v>
      </x:c>
      <x:c r="L355" s="74" t="n">
        <x:v>13553.96</x:v>
      </x:c>
    </x:row>
    <x:row r="356">
      <x:c r="A356" s="65" t="str">
        <x:v>TX-1345</x:v>
      </x:c>
      <x:c r="B356" s="65" t="str">
        <x:v>2026-01-14</x:v>
      </x:c>
      <x:c r="C356" s="65" t="str">
        <x:v>Operacoes</x:v>
      </x:c>
      <x:c r="D356" s="65" t="str">
        <x:v>Direto</x:v>
      </x:c>
      <x:c r="E356" s="65" t="str">
        <x:v>Nordeste</x:v>
      </x:c>
      <x:c r="F356" s="65" t="str">
        <x:v>Alfa Industria</x:v>
      </x:c>
      <x:c r="G356" s="65" t="str">
        <x:v>Felipe</x:v>
      </x:c>
      <x:c r="H356" s="74" t="n">
        <x:v>18765.54</x:v>
      </x:c>
      <x:c r="I356" s="74" t="n">
        <x:v>959.41</x:v>
      </x:c>
      <x:c r="J356" s="74" t="n">
        <x:v>11805.08</x:v>
      </x:c>
      <x:c r="K356" s="74" t="n">
        <x:v>17806.13</x:v>
      </x:c>
      <x:c r="L356" s="74" t="n">
        <x:v>6001.050000000001</x:v>
      </x:c>
    </x:row>
    <x:row r="357">
      <x:c r="A357" s="65" t="str">
        <x:v>TX-1369</x:v>
      </x:c>
      <x:c r="B357" s="65" t="str">
        <x:v>2026-01-14</x:v>
      </x:c>
      <x:c r="C357" s="65" t="str">
        <x:v>Comercial</x:v>
      </x:c>
      <x:c r="D357" s="65" t="str">
        <x:v>Digital</x:v>
      </x:c>
      <x:c r="E357" s="65" t="str">
        <x:v>Centro-Oeste</x:v>
      </x:c>
      <x:c r="F357" s="65" t="str">
        <x:v>Delta Varejo</x:v>
      </x:c>
      <x:c r="G357" s="65" t="str">
        <x:v>Carla</x:v>
      </x:c>
      <x:c r="H357" s="74" t="n">
        <x:v>27863.21</x:v>
      </x:c>
      <x:c r="I357" s="74" t="n">
        <x:v>2096.32</x:v>
      </x:c>
      <x:c r="J357" s="74" t="n">
        <x:v>13418.11</x:v>
      </x:c>
      <x:c r="K357" s="74" t="n">
        <x:v>25766.89</x:v>
      </x:c>
      <x:c r="L357" s="74" t="n">
        <x:v>12348.779999999999</x:v>
      </x:c>
    </x:row>
    <x:row r="358">
      <x:c r="A358" s="65" t="str">
        <x:v>TX-1348</x:v>
      </x:c>
      <x:c r="B358" s="65" t="str">
        <x:v>2026-01-14</x:v>
      </x:c>
      <x:c r="C358" s="65" t="str">
        <x:v>Operacoes</x:v>
      </x:c>
      <x:c r="D358" s="65" t="str">
        <x:v>Digital</x:v>
      </x:c>
      <x:c r="E358" s="65" t="str">
        <x:v>Sudeste</x:v>
      </x:c>
      <x:c r="F358" s="65" t="str">
        <x:v>Alfa Industria</x:v>
      </x:c>
      <x:c r="G358" s="65" t="str">
        <x:v>Ana</x:v>
      </x:c>
      <x:c r="H358" s="74" t="n">
        <x:v>15500.75</x:v>
      </x:c>
      <x:c r="I358" s="74" t="n">
        <x:v>973.76</x:v>
      </x:c>
      <x:c r="J358" s="74" t="n">
        <x:v>10312</x:v>
      </x:c>
      <x:c r="K358" s="74" t="n">
        <x:v>14526.99</x:v>
      </x:c>
      <x:c r="L358" s="74" t="n">
        <x:v>4214.99</x:v>
      </x:c>
    </x:row>
    <x:row r="359">
      <x:c r="A359" s="65" t="str">
        <x:v>TX-1349</x:v>
      </x:c>
      <x:c r="B359" s="65" t="str">
        <x:v>2026-01-14</x:v>
      </x:c>
      <x:c r="C359" s="65" t="str">
        <x:v>Comercial</x:v>
      </x:c>
      <x:c r="D359" s="65" t="str">
        <x:v>Direto</x:v>
      </x:c>
      <x:c r="E359" s="65" t="str">
        <x:v>Sudeste</x:v>
      </x:c>
      <x:c r="F359" s="65" t="str">
        <x:v>Horizonte Tech</x:v>
      </x:c>
      <x:c r="G359" s="65" t="str">
        <x:v>Carla</x:v>
      </x:c>
      <x:c r="H359" s="74" t="n">
        <x:v>31574.28</x:v>
      </x:c>
      <x:c r="I359" s="74" t="n">
        <x:v>1748.83</x:v>
      </x:c>
      <x:c r="J359" s="74" t="n">
        <x:v>16340.56</x:v>
      </x:c>
      <x:c r="K359" s="74" t="n">
        <x:v>29825.449999999997</x:v>
      </x:c>
      <x:c r="L359" s="74" t="n">
        <x:v>13484.889999999998</x:v>
      </x:c>
    </x:row>
    <x:row r="360">
      <x:c r="A360" s="65" t="str">
        <x:v>TX-1346</x:v>
      </x:c>
      <x:c r="B360" s="65" t="str">
        <x:v>2026-01-14</x:v>
      </x:c>
      <x:c r="C360" s="65" t="str">
        <x:v>Operacoes</x:v>
      </x:c>
      <x:c r="D360" s="65" t="str">
        <x:v>Digital</x:v>
      </x:c>
      <x:c r="E360" s="65" t="str">
        <x:v>Centro-Oeste</x:v>
      </x:c>
      <x:c r="F360" s="65" t="str">
        <x:v>Delta Varejo</x:v>
      </x:c>
      <x:c r="G360" s="65" t="str">
        <x:v>Ana</x:v>
      </x:c>
      <x:c r="H360" s="74" t="n">
        <x:v>20741.71</x:v>
      </x:c>
      <x:c r="I360" s="74" t="n">
        <x:v>830.43</x:v>
      </x:c>
      <x:c r="J360" s="74" t="n">
        <x:v>13345.34</x:v>
      </x:c>
      <x:c r="K360" s="74" t="n">
        <x:v>19911.28</x:v>
      </x:c>
      <x:c r="L360" s="74" t="n">
        <x:v>6565.939999999999</x:v>
      </x:c>
    </x:row>
    <x:row r="361">
      <x:c r="A361" s="65" t="str">
        <x:v>TX-1373</x:v>
      </x:c>
      <x:c r="B361" s="65" t="str">
        <x:v>2026-01-15</x:v>
      </x:c>
      <x:c r="C361" s="65" t="str">
        <x:v>Tecnologia</x:v>
      </x:c>
      <x:c r="D361" s="65" t="str">
        <x:v>Direto</x:v>
      </x:c>
      <x:c r="E361" s="65" t="str">
        <x:v>Nordeste</x:v>
      </x:c>
      <x:c r="F361" s="65" t="str">
        <x:v>Delta Varejo</x:v>
      </x:c>
      <x:c r="G361" s="65" t="str">
        <x:v>Carla</x:v>
      </x:c>
      <x:c r="H361" s="74" t="n">
        <x:v>23928.34</x:v>
      </x:c>
      <x:c r="I361" s="74" t="n">
        <x:v>1842.2</x:v>
      </x:c>
      <x:c r="J361" s="74" t="n">
        <x:v>14581.72</x:v>
      </x:c>
      <x:c r="K361" s="74" t="n">
        <x:v>22086.14</x:v>
      </x:c>
      <x:c r="L361" s="74" t="n">
        <x:v>7504.42</x:v>
      </x:c>
    </x:row>
    <x:row r="362">
      <x:c r="A362" s="65" t="str">
        <x:v>TX-1364</x:v>
      </x:c>
      <x:c r="B362" s="65" t="str">
        <x:v>2026-01-15</x:v>
      </x:c>
      <x:c r="C362" s="65" t="str">
        <x:v>Tecnologia</x:v>
      </x:c>
      <x:c r="D362" s="65" t="str">
        <x:v>Direto</x:v>
      </x:c>
      <x:c r="E362" s="65" t="str">
        <x:v>Sul</x:v>
      </x:c>
      <x:c r="F362" s="65" t="str">
        <x:v>Foco Energia</x:v>
      </x:c>
      <x:c r="G362" s="65" t="str">
        <x:v>Felipe</x:v>
      </x:c>
      <x:c r="H362" s="74" t="n">
        <x:v>23292.47</x:v>
      </x:c>
      <x:c r="I362" s="74" t="n">
        <x:v>1654.87</x:v>
      </x:c>
      <x:c r="J362" s="74" t="n">
        <x:v>12620.16</x:v>
      </x:c>
      <x:c r="K362" s="74" t="n">
        <x:v>21637.600000000002</x:v>
      </x:c>
      <x:c r="L362" s="74" t="n">
        <x:v>9017.440000000002</x:v>
      </x:c>
    </x:row>
    <x:row r="363">
      <x:c r="A363" s="65" t="str">
        <x:v>TX-1357</x:v>
      </x:c>
      <x:c r="B363" s="65" t="str">
        <x:v>2026-01-15</x:v>
      </x:c>
      <x:c r="C363" s="65" t="str">
        <x:v>Tecnologia</x:v>
      </x:c>
      <x:c r="D363" s="65" t="str">
        <x:v>Direto</x:v>
      </x:c>
      <x:c r="E363" s="65" t="str">
        <x:v>Sudeste</x:v>
      </x:c>
      <x:c r="F363" s="65" t="str">
        <x:v>Foco Energia</x:v>
      </x:c>
      <x:c r="G363" s="65" t="str">
        <x:v>Carla</x:v>
      </x:c>
      <x:c r="H363" s="74" t="n">
        <x:v>26022.94</x:v>
      </x:c>
      <x:c r="I363" s="74" t="n">
        <x:v>946.49</x:v>
      </x:c>
      <x:c r="J363" s="74" t="n">
        <x:v>14854.7</x:v>
      </x:c>
      <x:c r="K363" s="74" t="n">
        <x:v>25076.449999999997</x:v>
      </x:c>
      <x:c r="L363" s="74" t="n">
        <x:v>10221.749999999996</x:v>
      </x:c>
    </x:row>
    <x:row r="364">
      <x:c r="A364" s="65" t="str">
        <x:v>TX-1375</x:v>
      </x:c>
      <x:c r="B364" s="65" t="str">
        <x:v>2026-01-15</x:v>
      </x:c>
      <x:c r="C364" s="65" t="str">
        <x:v>Comercial</x:v>
      </x:c>
      <x:c r="D364" s="65" t="str">
        <x:v>Parceiros</x:v>
      </x:c>
      <x:c r="E364" s="65" t="str">
        <x:v>Nordeste</x:v>
      </x:c>
      <x:c r="F364" s="65" t="str">
        <x:v>Evo Saude</x:v>
      </x:c>
      <x:c r="G364" s="65" t="str">
        <x:v>Elisa</x:v>
      </x:c>
      <x:c r="H364" s="74" t="n">
        <x:v>22571.47</x:v>
      </x:c>
      <x:c r="I364" s="74" t="n">
        <x:v>1146.82</x:v>
      </x:c>
      <x:c r="J364" s="74" t="n">
        <x:v>11682.48</x:v>
      </x:c>
      <x:c r="K364" s="74" t="n">
        <x:v>21424.65</x:v>
      </x:c>
      <x:c r="L364" s="74" t="n">
        <x:v>9742.170000000002</x:v>
      </x:c>
    </x:row>
    <x:row r="365">
      <x:c r="A365" s="65" t="str">
        <x:v>TX-1358</x:v>
      </x:c>
      <x:c r="B365" s="65" t="str">
        <x:v>2026-01-17</x:v>
      </x:c>
      <x:c r="C365" s="65" t="str">
        <x:v>Operacoes</x:v>
      </x:c>
      <x:c r="D365" s="65" t="str">
        <x:v>Direto</x:v>
      </x:c>
      <x:c r="E365" s="65" t="str">
        <x:v>Sul</x:v>
      </x:c>
      <x:c r="F365" s="65" t="str">
        <x:v>Beta Logistica</x:v>
      </x:c>
      <x:c r="G365" s="65" t="str">
        <x:v>Elisa</x:v>
      </x:c>
      <x:c r="H365" s="74" t="n">
        <x:v>21070.96</x:v>
      </x:c>
      <x:c r="I365" s="74" t="n">
        <x:v>755.82</x:v>
      </x:c>
      <x:c r="J365" s="74" t="n">
        <x:v>13524.29</x:v>
      </x:c>
      <x:c r="K365" s="74" t="n">
        <x:v>20315.14</x:v>
      </x:c>
      <x:c r="L365" s="74" t="n">
        <x:v>6790.8499999999985</x:v>
      </x:c>
    </x:row>
    <x:row r="366">
      <x:c r="A366" s="65" t="str">
        <x:v>TX-1350</x:v>
      </x:c>
      <x:c r="B366" s="65" t="str">
        <x:v>2026-01-18</x:v>
      </x:c>
      <x:c r="C366" s="65" t="str">
        <x:v>Operacoes</x:v>
      </x:c>
      <x:c r="D366" s="65" t="str">
        <x:v>Digital</x:v>
      </x:c>
      <x:c r="E366" s="65" t="str">
        <x:v>Sudeste</x:v>
      </x:c>
      <x:c r="F366" s="65" t="str">
        <x:v>Beta Logistica</x:v>
      </x:c>
      <x:c r="G366" s="65" t="str">
        <x:v>Bruno</x:v>
      </x:c>
      <x:c r="H366" s="74" t="n">
        <x:v>14911.28</x:v>
      </x:c>
      <x:c r="I366" s="74" t="n">
        <x:v>246.79</x:v>
      </x:c>
      <x:c r="J366" s="74" t="n">
        <x:v>10132.83</x:v>
      </x:c>
      <x:c r="K366" s="74" t="n">
        <x:v>14664.49</x:v>
      </x:c>
      <x:c r="L366" s="74" t="n">
        <x:v>4531.66</x:v>
      </x:c>
    </x:row>
    <x:row r="367">
      <x:c r="A367" s="65" t="str">
        <x:v>TX-1374</x:v>
      </x:c>
      <x:c r="B367" s="65" t="str">
        <x:v>2026-01-18</x:v>
      </x:c>
      <x:c r="C367" s="65" t="str">
        <x:v>Operacoes</x:v>
      </x:c>
      <x:c r="D367" s="65" t="str">
        <x:v>Parceiros</x:v>
      </x:c>
      <x:c r="E367" s="65" t="str">
        <x:v>Sul</x:v>
      </x:c>
      <x:c r="F367" s="65" t="str">
        <x:v>Delta Varejo</x:v>
      </x:c>
      <x:c r="G367" s="65" t="str">
        <x:v>Felipe</x:v>
      </x:c>
      <x:c r="H367" s="74" t="n">
        <x:v>10969.29</x:v>
      </x:c>
      <x:c r="I367" s="74" t="n">
        <x:v>232.85</x:v>
      </x:c>
      <x:c r="J367" s="74" t="n">
        <x:v>7853.68</x:v>
      </x:c>
      <x:c r="K367" s="74" t="n">
        <x:v>10736.44</x:v>
      </x:c>
      <x:c r="L367" s="74" t="n">
        <x:v>2882.76</x:v>
      </x:c>
    </x:row>
    <x:row r="368">
      <x:c r="A368" s="65" t="str">
        <x:v>TX-1338</x:v>
      </x:c>
      <x:c r="B368" s="65" t="str">
        <x:v>2026-01-18</x:v>
      </x:c>
      <x:c r="C368" s="65" t="str">
        <x:v>Tecnologia</x:v>
      </x:c>
      <x:c r="D368" s="65" t="str">
        <x:v>Direto</x:v>
      </x:c>
      <x:c r="E368" s="65" t="str">
        <x:v>Nordeste</x:v>
      </x:c>
      <x:c r="F368" s="65" t="str">
        <x:v>Horizonte Tech</x:v>
      </x:c>
      <x:c r="G368" s="65" t="str">
        <x:v>Elisa</x:v>
      </x:c>
      <x:c r="H368" s="74" t="n">
        <x:v>23903.44</x:v>
      </x:c>
      <x:c r="I368" s="74" t="n">
        <x:v>979.7</x:v>
      </x:c>
      <x:c r="J368" s="74" t="n">
        <x:v>14511.61</x:v>
      </x:c>
      <x:c r="K368" s="74" t="n">
        <x:v>22923.739999999998</x:v>
      </x:c>
      <x:c r="L368" s="74" t="n">
        <x:v>8412.129999999997</x:v>
      </x:c>
    </x:row>
    <x:row r="369">
      <x:c r="A369" s="65" t="str">
        <x:v>TX-1360</x:v>
      </x:c>
      <x:c r="B369" s="65" t="str">
        <x:v>2026-01-19</x:v>
      </x:c>
      <x:c r="C369" s="65" t="str">
        <x:v>Comercial</x:v>
      </x:c>
      <x:c r="D369" s="65" t="str">
        <x:v>Direto</x:v>
      </x:c>
      <x:c r="E369" s="65" t="str">
        <x:v>Sul</x:v>
      </x:c>
      <x:c r="F369" s="65" t="str">
        <x:v>Evo Saude</x:v>
      </x:c>
      <x:c r="G369" s="65" t="str">
        <x:v>Elisa</x:v>
      </x:c>
      <x:c r="H369" s="74" t="n">
        <x:v>22104.75</x:v>
      </x:c>
      <x:c r="I369" s="74" t="n">
        <x:v>308.15</x:v>
      </x:c>
      <x:c r="J369" s="74" t="n">
        <x:v>12691.08</x:v>
      </x:c>
      <x:c r="K369" s="74" t="n">
        <x:v>21796.6</x:v>
      </x:c>
      <x:c r="L369" s="74" t="n">
        <x:v>9105.519999999999</x:v>
      </x:c>
    </x:row>
    <x:row r="370">
      <x:c r="A370" s="65" t="str">
        <x:v>TX-1340</x:v>
      </x:c>
      <x:c r="B370" s="65" t="str">
        <x:v>2026-01-19</x:v>
      </x:c>
      <x:c r="C370" s="65" t="str">
        <x:v>Marketing</x:v>
      </x:c>
      <x:c r="D370" s="65" t="str">
        <x:v>Parceiros</x:v>
      </x:c>
      <x:c r="E370" s="65" t="str">
        <x:v>Sul</x:v>
      </x:c>
      <x:c r="F370" s="65" t="str">
        <x:v>Beta Logistica</x:v>
      </x:c>
      <x:c r="G370" s="65" t="str">
        <x:v>Diego</x:v>
      </x:c>
      <x:c r="H370" s="74" t="n">
        <x:v>12782.73</x:v>
      </x:c>
      <x:c r="I370" s="74" t="n">
        <x:v>445.63</x:v>
      </x:c>
      <x:c r="J370" s="74" t="n">
        <x:v>9338.44</x:v>
      </x:c>
      <x:c r="K370" s="74" t="n">
        <x:v>12337.1</x:v>
      </x:c>
      <x:c r="L370" s="74" t="n">
        <x:v>2998.66</x:v>
      </x:c>
    </x:row>
    <x:row r="371">
      <x:c r="A371" s="65" t="str">
        <x:v>TX-1330</x:v>
      </x:c>
      <x:c r="B371" s="65" t="str">
        <x:v>2026-01-19</x:v>
      </x:c>
      <x:c r="C371" s="65" t="str">
        <x:v>Operacoes</x:v>
      </x:c>
      <x:c r="D371" s="65" t="str">
        <x:v>Direto</x:v>
      </x:c>
      <x:c r="E371" s="65" t="str">
        <x:v>Centro-Oeste</x:v>
      </x:c>
      <x:c r="F371" s="65" t="str">
        <x:v>Delta Varejo</x:v>
      </x:c>
      <x:c r="G371" s="65" t="str">
        <x:v>Felipe</x:v>
      </x:c>
      <x:c r="H371" s="74" t="n">
        <x:v>23743.85</x:v>
      </x:c>
      <x:c r="I371" s="74" t="n">
        <x:v>1661.6</x:v>
      </x:c>
      <x:c r="J371" s="74" t="n">
        <x:v>15677.38</x:v>
      </x:c>
      <x:c r="K371" s="74" t="n">
        <x:v>22082.25</x:v>
      </x:c>
      <x:c r="L371" s="74" t="n">
        <x:v>6404.870000000001</x:v>
      </x:c>
    </x:row>
    <x:row r="372">
      <x:c r="A372" s="65" t="str">
        <x:v>TX-1328</x:v>
      </x:c>
      <x:c r="B372" s="65" t="str">
        <x:v>2026-01-20</x:v>
      </x:c>
      <x:c r="C372" s="65" t="str">
        <x:v>Marketing</x:v>
      </x:c>
      <x:c r="D372" s="65" t="str">
        <x:v>Direto</x:v>
      </x:c>
      <x:c r="E372" s="65" t="str">
        <x:v>Sudeste</x:v>
      </x:c>
      <x:c r="F372" s="65" t="str">
        <x:v>Horizonte Tech</x:v>
      </x:c>
      <x:c r="G372" s="65" t="str">
        <x:v>Carla</x:v>
      </x:c>
      <x:c r="H372" s="74" t="n">
        <x:v>18235.5</x:v>
      </x:c>
      <x:c r="I372" s="74" t="n">
        <x:v>1161.26</x:v>
      </x:c>
      <x:c r="J372" s="74" t="n">
        <x:v>12129.25</x:v>
      </x:c>
      <x:c r="K372" s="74" t="n">
        <x:v>17074.24</x:v>
      </x:c>
      <x:c r="L372" s="74" t="n">
        <x:v>4944.990000000002</x:v>
      </x:c>
    </x:row>
    <x:row r="373">
      <x:c r="A373" s="65" t="str">
        <x:v>TX-1365</x:v>
      </x:c>
      <x:c r="B373" s="65" t="str">
        <x:v>2026-01-22</x:v>
      </x:c>
      <x:c r="C373" s="65" t="str">
        <x:v>Comercial</x:v>
      </x:c>
      <x:c r="D373" s="65" t="str">
        <x:v>Direto</x:v>
      </x:c>
      <x:c r="E373" s="65" t="str">
        <x:v>Centro-Oeste</x:v>
      </x:c>
      <x:c r="F373" s="65" t="str">
        <x:v>Beta Logistica</x:v>
      </x:c>
      <x:c r="G373" s="65" t="str">
        <x:v>Felipe</x:v>
      </x:c>
      <x:c r="H373" s="74" t="n">
        <x:v>24258.87</x:v>
      </x:c>
      <x:c r="I373" s="74" t="n">
        <x:v>257.22</x:v>
      </x:c>
      <x:c r="J373" s="74" t="n">
        <x:v>13735.87</x:v>
      </x:c>
      <x:c r="K373" s="74" t="n">
        <x:v>24001.649999999998</x:v>
      </x:c>
      <x:c r="L373" s="74" t="n">
        <x:v>10265.779999999997</x:v>
      </x:c>
    </x:row>
    <x:row r="374">
      <x:c r="A374" s="65" t="str">
        <x:v>TX-1362</x:v>
      </x:c>
      <x:c r="B374" s="65" t="str">
        <x:v>2026-01-23</x:v>
      </x:c>
      <x:c r="C374" s="65" t="str">
        <x:v>Comercial</x:v>
      </x:c>
      <x:c r="D374" s="65" t="str">
        <x:v>Digital</x:v>
      </x:c>
      <x:c r="E374" s="65" t="str">
        <x:v>Centro-Oeste</x:v>
      </x:c>
      <x:c r="F374" s="65" t="str">
        <x:v>Crescer Educacao</x:v>
      </x:c>
      <x:c r="G374" s="65" t="str">
        <x:v>Elisa</x:v>
      </x:c>
      <x:c r="H374" s="74" t="n">
        <x:v>28469.38</x:v>
      </x:c>
      <x:c r="I374" s="74" t="n">
        <x:v>2051.03</x:v>
      </x:c>
      <x:c r="J374" s="74" t="n">
        <x:v>14466.61</x:v>
      </x:c>
      <x:c r="K374" s="74" t="n">
        <x:v>26418.350000000002</x:v>
      </x:c>
      <x:c r="L374" s="74" t="n">
        <x:v>11951.740000000002</x:v>
      </x:c>
    </x:row>
    <x:row r="375">
      <x:c r="A375" s="65" t="str">
        <x:v>TX-1341</x:v>
      </x:c>
      <x:c r="B375" s="65" t="str">
        <x:v>2026-01-23</x:v>
      </x:c>
      <x:c r="C375" s="65" t="str">
        <x:v>Comercial</x:v>
      </x:c>
      <x:c r="D375" s="65" t="str">
        <x:v>Direto</x:v>
      </x:c>
      <x:c r="E375" s="65" t="str">
        <x:v>Nordeste</x:v>
      </x:c>
      <x:c r="F375" s="65" t="str">
        <x:v>Alfa Industria</x:v>
      </x:c>
      <x:c r="G375" s="65" t="str">
        <x:v>Carla</x:v>
      </x:c>
      <x:c r="H375" s="74" t="n">
        <x:v>25095.91</x:v>
      </x:c>
      <x:c r="I375" s="74" t="n">
        <x:v>368.93</x:v>
      </x:c>
      <x:c r="J375" s="74" t="n">
        <x:v>13474.35</x:v>
      </x:c>
      <x:c r="K375" s="74" t="n">
        <x:v>24726.98</x:v>
      </x:c>
      <x:c r="L375" s="74" t="n">
        <x:v>11252.63</x:v>
      </x:c>
    </x:row>
    <x:row r="376">
      <x:c r="A376" s="65" t="str">
        <x:v>TX-1327</x:v>
      </x:c>
      <x:c r="B376" s="65" t="str">
        <x:v>2026-01-24</x:v>
      </x:c>
      <x:c r="C376" s="65" t="str">
        <x:v>Tecnologia</x:v>
      </x:c>
      <x:c r="D376" s="65" t="str">
        <x:v>Direto</x:v>
      </x:c>
      <x:c r="E376" s="65" t="str">
        <x:v>Centro-Oeste</x:v>
      </x:c>
      <x:c r="F376" s="65" t="str">
        <x:v>Foco Energia</x:v>
      </x:c>
      <x:c r="G376" s="65" t="str">
        <x:v>Felipe</x:v>
      </x:c>
      <x:c r="H376" s="74" t="n">
        <x:v>19550.69</x:v>
      </x:c>
      <x:c r="I376" s="74" t="n">
        <x:v>626.03</x:v>
      </x:c>
      <x:c r="J376" s="74" t="n">
        <x:v>11511.96</x:v>
      </x:c>
      <x:c r="K376" s="74" t="n">
        <x:v>18924.66</x:v>
      </x:c>
      <x:c r="L376" s="74" t="n">
        <x:v>7412.700000000001</x:v>
      </x:c>
    </x:row>
    <x:row r="377">
      <x:c r="A377" s="65" t="str">
        <x:v>TX-1371</x:v>
      </x:c>
      <x:c r="B377" s="65" t="str">
        <x:v>2026-01-24</x:v>
      </x:c>
      <x:c r="C377" s="65" t="str">
        <x:v>Comercial</x:v>
      </x:c>
      <x:c r="D377" s="65" t="str">
        <x:v>Direto</x:v>
      </x:c>
      <x:c r="E377" s="65" t="str">
        <x:v>Centro-Oeste</x:v>
      </x:c>
      <x:c r="F377" s="65" t="str">
        <x:v>Horizonte Tech</x:v>
      </x:c>
      <x:c r="G377" s="65" t="str">
        <x:v>Elisa</x:v>
      </x:c>
      <x:c r="H377" s="74" t="n">
        <x:v>22361.94</x:v>
      </x:c>
      <x:c r="I377" s="74" t="n">
        <x:v>1421.6</x:v>
      </x:c>
      <x:c r="J377" s="74" t="n">
        <x:v>10892.69</x:v>
      </x:c>
      <x:c r="K377" s="74" t="n">
        <x:v>20940.34</x:v>
      </x:c>
      <x:c r="L377" s="74" t="n">
        <x:v>10047.65</x:v>
      </x:c>
    </x:row>
    <x:row r="378">
      <x:c r="A378" s="65" t="str">
        <x:v>TX-1370</x:v>
      </x:c>
      <x:c r="B378" s="65" t="str">
        <x:v>2026-01-25</x:v>
      </x:c>
      <x:c r="C378" s="65" t="str">
        <x:v>Tecnologia</x:v>
      </x:c>
      <x:c r="D378" s="65" t="str">
        <x:v>Parceiros</x:v>
      </x:c>
      <x:c r="E378" s="65" t="str">
        <x:v>Sudeste</x:v>
      </x:c>
      <x:c r="F378" s="65" t="str">
        <x:v>Alfa Industria</x:v>
      </x:c>
      <x:c r="G378" s="65" t="str">
        <x:v>Felipe</x:v>
      </x:c>
      <x:c r="H378" s="74" t="n">
        <x:v>30950.24</x:v>
      </x:c>
      <x:c r="I378" s="74" t="n">
        <x:v>541.94</x:v>
      </x:c>
      <x:c r="J378" s="74" t="n">
        <x:v>18002.17</x:v>
      </x:c>
      <x:c r="K378" s="74" t="n">
        <x:v>30408.300000000003</x:v>
      </x:c>
      <x:c r="L378" s="74" t="n">
        <x:v>12406.130000000005</x:v>
      </x:c>
    </x:row>
    <x:row r="379">
      <x:c r="A379" s="65" t="str">
        <x:v>TX-1352</x:v>
      </x:c>
      <x:c r="B379" s="65" t="str">
        <x:v>2026-01-25</x:v>
      </x:c>
      <x:c r="C379" s="65" t="str">
        <x:v>Operacoes</x:v>
      </x:c>
      <x:c r="D379" s="65" t="str">
        <x:v>Digital</x:v>
      </x:c>
      <x:c r="E379" s="65" t="str">
        <x:v>Sul</x:v>
      </x:c>
      <x:c r="F379" s="65" t="str">
        <x:v>Gama Servicos</x:v>
      </x:c>
      <x:c r="G379" s="65" t="str">
        <x:v>Bruno</x:v>
      </x:c>
      <x:c r="H379" s="74" t="n">
        <x:v>15590.93</x:v>
      </x:c>
      <x:c r="I379" s="74" t="n">
        <x:v>161.21</x:v>
      </x:c>
      <x:c r="J379" s="74" t="n">
        <x:v>10196.86</x:v>
      </x:c>
      <x:c r="K379" s="74" t="n">
        <x:v>15429.720000000001</x:v>
      </x:c>
      <x:c r="L379" s="74" t="n">
        <x:v>5232.860000000001</x:v>
      </x:c>
    </x:row>
    <x:row r="380">
      <x:c r="A380" s="65" t="str">
        <x:v>TX-1389</x:v>
      </x:c>
      <x:c r="B380" s="65" t="str">
        <x:v>2026-02-01</x:v>
      </x:c>
      <x:c r="C380" s="65" t="str">
        <x:v>Tecnologia</x:v>
      </x:c>
      <x:c r="D380" s="65" t="str">
        <x:v>Digital</x:v>
      </x:c>
      <x:c r="E380" s="65" t="str">
        <x:v>Sudeste</x:v>
      </x:c>
      <x:c r="F380" s="65" t="str">
        <x:v>Beta Logistica</x:v>
      </x:c>
      <x:c r="G380" s="65" t="str">
        <x:v>Diego</x:v>
      </x:c>
      <x:c r="H380" s="74" t="n">
        <x:v>22082.5</x:v>
      </x:c>
      <x:c r="I380" s="74" t="n">
        <x:v>896.31</x:v>
      </x:c>
      <x:c r="J380" s="74" t="n">
        <x:v>12405.71</x:v>
      </x:c>
      <x:c r="K380" s="74" t="n">
        <x:v>21186.19</x:v>
      </x:c>
      <x:c r="L380" s="74" t="n">
        <x:v>8780.48</x:v>
      </x:c>
    </x:row>
    <x:row r="381">
      <x:c r="A381" s="65" t="str">
        <x:v>TX-1414</x:v>
      </x:c>
      <x:c r="B381" s="65" t="str">
        <x:v>2026-02-01</x:v>
      </x:c>
      <x:c r="C381" s="65" t="str">
        <x:v>Tecnologia</x:v>
      </x:c>
      <x:c r="D381" s="65" t="str">
        <x:v>Parceiros</x:v>
      </x:c>
      <x:c r="E381" s="65" t="str">
        <x:v>Nordeste</x:v>
      </x:c>
      <x:c r="F381" s="65" t="str">
        <x:v>Horizonte Tech</x:v>
      </x:c>
      <x:c r="G381" s="65" t="str">
        <x:v>Bruno</x:v>
      </x:c>
      <x:c r="H381" s="74" t="n">
        <x:v>21341.46</x:v>
      </x:c>
      <x:c r="I381" s="74" t="n">
        <x:v>1426.91</x:v>
      </x:c>
      <x:c r="J381" s="74" t="n">
        <x:v>12823.4</x:v>
      </x:c>
      <x:c r="K381" s="74" t="n">
        <x:v>19914.55</x:v>
      </x:c>
      <x:c r="L381" s="74" t="n">
        <x:v>7091.15</x:v>
      </x:c>
    </x:row>
    <x:row r="382">
      <x:c r="A382" s="65" t="str">
        <x:v>TX-1410</x:v>
      </x:c>
      <x:c r="B382" s="65" t="str">
        <x:v>2026-02-02</x:v>
      </x:c>
      <x:c r="C382" s="65" t="str">
        <x:v>Tecnologia</x:v>
      </x:c>
      <x:c r="D382" s="65" t="str">
        <x:v>Parceiros</x:v>
      </x:c>
      <x:c r="E382" s="65" t="str">
        <x:v>Nordeste</x:v>
      </x:c>
      <x:c r="F382" s="65" t="str">
        <x:v>Gama Servicos</x:v>
      </x:c>
      <x:c r="G382" s="65" t="str">
        <x:v>Diego</x:v>
      </x:c>
      <x:c r="H382" s="74" t="n">
        <x:v>25210.94</x:v>
      </x:c>
      <x:c r="I382" s="74" t="n">
        <x:v>1695.4</x:v>
      </x:c>
      <x:c r="J382" s="74" t="n">
        <x:v>13605.28</x:v>
      </x:c>
      <x:c r="K382" s="74" t="n">
        <x:v>23515.539999999997</x:v>
      </x:c>
      <x:c r="L382" s="74" t="n">
        <x:v>9910.259999999997</x:v>
      </x:c>
    </x:row>
    <x:row r="383">
      <x:c r="A383" s="65" t="str">
        <x:v>TX-1412</x:v>
      </x:c>
      <x:c r="B383" s="65" t="str">
        <x:v>2026-02-02</x:v>
      </x:c>
      <x:c r="C383" s="65" t="str">
        <x:v>Comercial</x:v>
      </x:c>
      <x:c r="D383" s="65" t="str">
        <x:v>Digital</x:v>
      </x:c>
      <x:c r="E383" s="65" t="str">
        <x:v>Sudeste</x:v>
      </x:c>
      <x:c r="F383" s="65" t="str">
        <x:v>Horizonte Tech</x:v>
      </x:c>
      <x:c r="G383" s="65" t="str">
        <x:v>Carla</x:v>
      </x:c>
      <x:c r="H383" s="74" t="n">
        <x:v>23988.6</x:v>
      </x:c>
      <x:c r="I383" s="74" t="n">
        <x:v>1832.86</x:v>
      </x:c>
      <x:c r="J383" s="74" t="n">
        <x:v>12438.06</x:v>
      </x:c>
      <x:c r="K383" s="74" t="n">
        <x:v>22155.739999999998</x:v>
      </x:c>
      <x:c r="L383" s="74" t="n">
        <x:v>9717.679999999998</x:v>
      </x:c>
    </x:row>
    <x:row r="384">
      <x:c r="A384" s="65" t="str">
        <x:v>TX-1400</x:v>
      </x:c>
      <x:c r="B384" s="65" t="str">
        <x:v>2026-02-03</x:v>
      </x:c>
      <x:c r="C384" s="65" t="str">
        <x:v>Marketing</x:v>
      </x:c>
      <x:c r="D384" s="65" t="str">
        <x:v>Direto</x:v>
      </x:c>
      <x:c r="E384" s="65" t="str">
        <x:v>Sudeste</x:v>
      </x:c>
      <x:c r="F384" s="65" t="str">
        <x:v>Delta Varejo</x:v>
      </x:c>
      <x:c r="G384" s="65" t="str">
        <x:v>Bruno</x:v>
      </x:c>
      <x:c r="H384" s="74" t="n">
        <x:v>13722.12</x:v>
      </x:c>
      <x:c r="I384" s="74" t="n">
        <x:v>610.62</x:v>
      </x:c>
      <x:c r="J384" s="74" t="n">
        <x:v>9443.87</x:v>
      </x:c>
      <x:c r="K384" s="74" t="n">
        <x:v>13111.5</x:v>
      </x:c>
      <x:c r="L384" s="74" t="n">
        <x:v>3667.629999999999</x:v>
      </x:c>
    </x:row>
    <x:row r="385">
      <x:c r="A385" s="65" t="str">
        <x:v>TX-1385</x:v>
      </x:c>
      <x:c r="B385" s="65" t="str">
        <x:v>2026-02-03</x:v>
      </x:c>
      <x:c r="C385" s="65" t="str">
        <x:v>Comercial</x:v>
      </x:c>
      <x:c r="D385" s="65" t="str">
        <x:v>Direto</x:v>
      </x:c>
      <x:c r="E385" s="65" t="str">
        <x:v>Sudeste</x:v>
      </x:c>
      <x:c r="F385" s="65" t="str">
        <x:v>Horizonte Tech</x:v>
      </x:c>
      <x:c r="G385" s="65" t="str">
        <x:v>Diego</x:v>
      </x:c>
      <x:c r="H385" s="74" t="n">
        <x:v>18860.23</x:v>
      </x:c>
      <x:c r="I385" s="74" t="n">
        <x:v>1293.15</x:v>
      </x:c>
      <x:c r="J385" s="74" t="n">
        <x:v>9905.47</x:v>
      </x:c>
      <x:c r="K385" s="74" t="n">
        <x:v>17567.079999999998</x:v>
      </x:c>
      <x:c r="L385" s="74" t="n">
        <x:v>7661.609999999999</x:v>
      </x:c>
    </x:row>
    <x:row r="386">
      <x:c r="A386" s="65" t="str">
        <x:v>TX-1392</x:v>
      </x:c>
      <x:c r="B386" s="65" t="str">
        <x:v>2026-02-03</x:v>
      </x:c>
      <x:c r="C386" s="65" t="str">
        <x:v>Tecnologia</x:v>
      </x:c>
      <x:c r="D386" s="65" t="str">
        <x:v>Digital</x:v>
      </x:c>
      <x:c r="E386" s="65" t="str">
        <x:v>Sudeste</x:v>
      </x:c>
      <x:c r="F386" s="65" t="str">
        <x:v>Evo Saude</x:v>
      </x:c>
      <x:c r="G386" s="65" t="str">
        <x:v>Elisa</x:v>
      </x:c>
      <x:c r="H386" s="74" t="n">
        <x:v>23516.42</x:v>
      </x:c>
      <x:c r="I386" s="74" t="n">
        <x:v>1251.94</x:v>
      </x:c>
      <x:c r="J386" s="74" t="n">
        <x:v>13292.22</x:v>
      </x:c>
      <x:c r="K386" s="74" t="n">
        <x:v>22264.48</x:v>
      </x:c>
      <x:c r="L386" s="74" t="n">
        <x:v>8972.26</x:v>
      </x:c>
    </x:row>
    <x:row r="387">
      <x:c r="A387" s="65" t="str">
        <x:v>TX-1387</x:v>
      </x:c>
      <x:c r="B387" s="65" t="str">
        <x:v>2026-02-04</x:v>
      </x:c>
      <x:c r="C387" s="65" t="str">
        <x:v>Marketing</x:v>
      </x:c>
      <x:c r="D387" s="65" t="str">
        <x:v>Parceiros</x:v>
      </x:c>
      <x:c r="E387" s="65" t="str">
        <x:v>Nordeste</x:v>
      </x:c>
      <x:c r="F387" s="65" t="str">
        <x:v>Evo Saude</x:v>
      </x:c>
      <x:c r="G387" s="65" t="str">
        <x:v>Diego</x:v>
      </x:c>
      <x:c r="H387" s="74" t="n">
        <x:v>17589.74</x:v>
      </x:c>
      <x:c r="I387" s="74" t="n">
        <x:v>1196.74</x:v>
      </x:c>
      <x:c r="J387" s="74" t="n">
        <x:v>11951.94</x:v>
      </x:c>
      <x:c r="K387" s="74" t="n">
        <x:v>16393</x:v>
      </x:c>
      <x:c r="L387" s="74" t="n">
        <x:v>4441.0599999999995</x:v>
      </x:c>
    </x:row>
    <x:row r="388">
      <x:c r="A388" s="65" t="str">
        <x:v>TX-1394</x:v>
      </x:c>
      <x:c r="B388" s="65" t="str">
        <x:v>2026-02-04</x:v>
      </x:c>
      <x:c r="C388" s="65" t="str">
        <x:v>Tecnologia</x:v>
      </x:c>
      <x:c r="D388" s="65" t="str">
        <x:v>Parceiros</x:v>
      </x:c>
      <x:c r="E388" s="65" t="str">
        <x:v>Sul</x:v>
      </x:c>
      <x:c r="F388" s="65" t="str">
        <x:v>Foco Energia</x:v>
      </x:c>
      <x:c r="G388" s="65" t="str">
        <x:v>Elisa</x:v>
      </x:c>
      <x:c r="H388" s="74" t="n">
        <x:v>21717.23</x:v>
      </x:c>
      <x:c r="I388" s="74" t="n">
        <x:v>1474.04</x:v>
      </x:c>
      <x:c r="J388" s="74" t="n">
        <x:v>12269.78</x:v>
      </x:c>
      <x:c r="K388" s="74" t="n">
        <x:v>20243.19</x:v>
      </x:c>
      <x:c r="L388" s="74" t="n">
        <x:v>7973.409999999998</x:v>
      </x:c>
    </x:row>
    <x:row r="389">
      <x:c r="A389" s="65" t="str">
        <x:v>TX-1388</x:v>
      </x:c>
      <x:c r="B389" s="65" t="str">
        <x:v>2026-02-05</x:v>
      </x:c>
      <x:c r="C389" s="65" t="str">
        <x:v>Operacoes</x:v>
      </x:c>
      <x:c r="D389" s="65" t="str">
        <x:v>Digital</x:v>
      </x:c>
      <x:c r="E389" s="65" t="str">
        <x:v>Sudeste</x:v>
      </x:c>
      <x:c r="F389" s="65" t="str">
        <x:v>Delta Varejo</x:v>
      </x:c>
      <x:c r="G389" s="65" t="str">
        <x:v>Bruno</x:v>
      </x:c>
      <x:c r="H389" s="74" t="n">
        <x:v>17655.49</x:v>
      </x:c>
      <x:c r="I389" s="74" t="n">
        <x:v>1360.65</x:v>
      </x:c>
      <x:c r="J389" s="74" t="n">
        <x:v>11602.43</x:v>
      </x:c>
      <x:c r="K389" s="74" t="n">
        <x:v>16294.840000000002</x:v>
      </x:c>
      <x:c r="L389" s="74" t="n">
        <x:v>4692.410000000002</x:v>
      </x:c>
    </x:row>
    <x:row r="390">
      <x:c r="A390" s="65" t="str">
        <x:v>TX-1401</x:v>
      </x:c>
      <x:c r="B390" s="65" t="str">
        <x:v>2026-02-05</x:v>
      </x:c>
      <x:c r="C390" s="65" t="str">
        <x:v>Marketing</x:v>
      </x:c>
      <x:c r="D390" s="65" t="str">
        <x:v>Digital</x:v>
      </x:c>
      <x:c r="E390" s="65" t="str">
        <x:v>Centro-Oeste</x:v>
      </x:c>
      <x:c r="F390" s="65" t="str">
        <x:v>Crescer Educacao</x:v>
      </x:c>
      <x:c r="G390" s="65" t="str">
        <x:v>Bruno</x:v>
      </x:c>
      <x:c r="H390" s="74" t="n">
        <x:v>21032.37</x:v>
      </x:c>
      <x:c r="I390" s="74" t="n">
        <x:v>1538.53</x:v>
      </x:c>
      <x:c r="J390" s="74" t="n">
        <x:v>14208.06</x:v>
      </x:c>
      <x:c r="K390" s="74" t="n">
        <x:v>19493.84</x:v>
      </x:c>
      <x:c r="L390" s="74" t="n">
        <x:v>5285.780000000001</x:v>
      </x:c>
    </x:row>
    <x:row r="391">
      <x:c r="A391" s="65" t="str">
        <x:v>TX-1396</x:v>
      </x:c>
      <x:c r="B391" s="65" t="str">
        <x:v>2026-02-06</x:v>
      </x:c>
      <x:c r="C391" s="65" t="str">
        <x:v>Comercial</x:v>
      </x:c>
      <x:c r="D391" s="65" t="str">
        <x:v>Parceiros</x:v>
      </x:c>
      <x:c r="E391" s="65" t="str">
        <x:v>Sudeste</x:v>
      </x:c>
      <x:c r="F391" s="65" t="str">
        <x:v>Delta Varejo</x:v>
      </x:c>
      <x:c r="G391" s="65" t="str">
        <x:v>Felipe</x:v>
      </x:c>
      <x:c r="H391" s="74" t="n">
        <x:v>22234.61</x:v>
      </x:c>
      <x:c r="I391" s="74" t="n">
        <x:v>742.75</x:v>
      </x:c>
      <x:c r="J391" s="74" t="n">
        <x:v>12326.65</x:v>
      </x:c>
      <x:c r="K391" s="74" t="n">
        <x:v>21491.86</x:v>
      </x:c>
      <x:c r="L391" s="74" t="n">
        <x:v>9165.210000000001</x:v>
      </x:c>
    </x:row>
    <x:row r="392">
      <x:c r="A392" s="65" t="str">
        <x:v>TX-1415</x:v>
      </x:c>
      <x:c r="B392" s="65" t="str">
        <x:v>2026-02-06</x:v>
      </x:c>
      <x:c r="C392" s="65" t="str">
        <x:v>Comercial</x:v>
      </x:c>
      <x:c r="D392" s="65" t="str">
        <x:v>Direto</x:v>
      </x:c>
      <x:c r="E392" s="65" t="str">
        <x:v>Sudeste</x:v>
      </x:c>
      <x:c r="F392" s="65" t="str">
        <x:v>Gama Servicos</x:v>
      </x:c>
      <x:c r="G392" s="65" t="str">
        <x:v>Ana</x:v>
      </x:c>
      <x:c r="H392" s="74" t="n">
        <x:v>24752.58</x:v>
      </x:c>
      <x:c r="I392" s="74" t="n">
        <x:v>1931.68</x:v>
      </x:c>
      <x:c r="J392" s="74" t="n">
        <x:v>13382.97</x:v>
      </x:c>
      <x:c r="K392" s="74" t="n">
        <x:v>22820.9</x:v>
      </x:c>
      <x:c r="L392" s="74" t="n">
        <x:v>9437.930000000002</x:v>
      </x:c>
    </x:row>
    <x:row r="393">
      <x:c r="A393" s="65" t="str">
        <x:v>TX-1421</x:v>
      </x:c>
      <x:c r="B393" s="65" t="str">
        <x:v>2026-02-06</x:v>
      </x:c>
      <x:c r="C393" s="65" t="str">
        <x:v>Comercial</x:v>
      </x:c>
      <x:c r="D393" s="65" t="str">
        <x:v>Direto</x:v>
      </x:c>
      <x:c r="E393" s="65" t="str">
        <x:v>Nordeste</x:v>
      </x:c>
      <x:c r="F393" s="65" t="str">
        <x:v>Evo Saude</x:v>
      </x:c>
      <x:c r="G393" s="65" t="str">
        <x:v>Felipe</x:v>
      </x:c>
      <x:c r="H393" s="74" t="n">
        <x:v>16971.39</x:v>
      </x:c>
      <x:c r="I393" s="74" t="n">
        <x:v>208.84</x:v>
      </x:c>
      <x:c r="J393" s="74" t="n">
        <x:v>8847.76</x:v>
      </x:c>
      <x:c r="K393" s="74" t="n">
        <x:v>16762.55</x:v>
      </x:c>
      <x:c r="L393" s="74" t="n">
        <x:v>7914.789999999999</x:v>
      </x:c>
    </x:row>
    <x:row r="394">
      <x:c r="A394" s="65" t="str">
        <x:v>TX-1426</x:v>
      </x:c>
      <x:c r="B394" s="65" t="str">
        <x:v>2026-02-06</x:v>
      </x:c>
      <x:c r="C394" s="65" t="str">
        <x:v>Comercial</x:v>
      </x:c>
      <x:c r="D394" s="65" t="str">
        <x:v>Parceiros</x:v>
      </x:c>
      <x:c r="E394" s="65" t="str">
        <x:v>Sul</x:v>
      </x:c>
      <x:c r="F394" s="65" t="str">
        <x:v>Beta Logistica</x:v>
      </x:c>
      <x:c r="G394" s="65" t="str">
        <x:v>Elisa</x:v>
      </x:c>
      <x:c r="H394" s="74" t="n">
        <x:v>27595.6</x:v>
      </x:c>
      <x:c r="I394" s="74" t="n">
        <x:v>475.54</x:v>
      </x:c>
      <x:c r="J394" s="74" t="n">
        <x:v>15068.11</x:v>
      </x:c>
      <x:c r="K394" s="74" t="n">
        <x:v>27120.059999999998</x:v>
      </x:c>
      <x:c r="L394" s="74" t="n">
        <x:v>12051.949999999997</x:v>
      </x:c>
    </x:row>
    <x:row r="395">
      <x:c r="A395" s="65" t="str">
        <x:v>TX-1403</x:v>
      </x:c>
      <x:c r="B395" s="65" t="str">
        <x:v>2026-02-07</x:v>
      </x:c>
      <x:c r="C395" s="65" t="str">
        <x:v>Comercial</x:v>
      </x:c>
      <x:c r="D395" s="65" t="str">
        <x:v>Digital</x:v>
      </x:c>
      <x:c r="E395" s="65" t="str">
        <x:v>Nordeste</x:v>
      </x:c>
      <x:c r="F395" s="65" t="str">
        <x:v>Beta Logistica</x:v>
      </x:c>
      <x:c r="G395" s="65" t="str">
        <x:v>Carla</x:v>
      </x:c>
      <x:c r="H395" s="74" t="n">
        <x:v>29244.97</x:v>
      </x:c>
      <x:c r="I395" s="74" t="n">
        <x:v>2109.83</x:v>
      </x:c>
      <x:c r="J395" s="74" t="n">
        <x:v>15245.35</x:v>
      </x:c>
      <x:c r="K395" s="74" t="n">
        <x:v>27135.14</x:v>
      </x:c>
      <x:c r="L395" s="74" t="n">
        <x:v>11889.789999999999</x:v>
      </x:c>
    </x:row>
    <x:row r="396">
      <x:c r="A396" s="65" t="str">
        <x:v>TX-1424</x:v>
      </x:c>
      <x:c r="B396" s="65" t="str">
        <x:v>2026-02-08</x:v>
      </x:c>
      <x:c r="C396" s="65" t="str">
        <x:v>Tecnologia</x:v>
      </x:c>
      <x:c r="D396" s="65" t="str">
        <x:v>Direto</x:v>
      </x:c>
      <x:c r="E396" s="65" t="str">
        <x:v>Sul</x:v>
      </x:c>
      <x:c r="F396" s="65" t="str">
        <x:v>Gama Servicos</x:v>
      </x:c>
      <x:c r="G396" s="65" t="str">
        <x:v>Bruno</x:v>
      </x:c>
      <x:c r="H396" s="74" t="n">
        <x:v>21005.89</x:v>
      </x:c>
      <x:c r="I396" s="74" t="n">
        <x:v>1446.85</x:v>
      </x:c>
      <x:c r="J396" s="74" t="n">
        <x:v>13525.82</x:v>
      </x:c>
      <x:c r="K396" s="74" t="n">
        <x:v>19559.04</x:v>
      </x:c>
      <x:c r="L396" s="74" t="n">
        <x:v>6033.220000000001</x:v>
      </x:c>
    </x:row>
    <x:row r="397">
      <x:c r="A397" s="65" t="str">
        <x:v>TX-1378</x:v>
      </x:c>
      <x:c r="B397" s="65" t="str">
        <x:v>2026-02-08</x:v>
      </x:c>
      <x:c r="C397" s="65" t="str">
        <x:v>Operacoes</x:v>
      </x:c>
      <x:c r="D397" s="65" t="str">
        <x:v>Parceiros</x:v>
      </x:c>
      <x:c r="E397" s="65" t="str">
        <x:v>Nordeste</x:v>
      </x:c>
      <x:c r="F397" s="65" t="str">
        <x:v>Delta Varejo</x:v>
      </x:c>
      <x:c r="G397" s="65" t="str">
        <x:v>Felipe</x:v>
      </x:c>
      <x:c r="H397" s="74" t="n">
        <x:v>22937.63</x:v>
      </x:c>
      <x:c r="I397" s="74" t="n">
        <x:v>1182.25</x:v>
      </x:c>
      <x:c r="J397" s="74" t="n">
        <x:v>15416.4</x:v>
      </x:c>
      <x:c r="K397" s="74" t="n">
        <x:v>21755.38</x:v>
      </x:c>
      <x:c r="L397" s="74" t="n">
        <x:v>6338.980000000001</x:v>
      </x:c>
    </x:row>
    <x:row r="398">
      <x:c r="A398" s="65" t="str">
        <x:v>TX-1419</x:v>
      </x:c>
      <x:c r="B398" s="65" t="str">
        <x:v>2026-02-09</x:v>
      </x:c>
      <x:c r="C398" s="65" t="str">
        <x:v>Comercial</x:v>
      </x:c>
      <x:c r="D398" s="65" t="str">
        <x:v>Direto</x:v>
      </x:c>
      <x:c r="E398" s="65" t="str">
        <x:v>Nordeste</x:v>
      </x:c>
      <x:c r="F398" s="65" t="str">
        <x:v>Alfa Industria</x:v>
      </x:c>
      <x:c r="G398" s="65" t="str">
        <x:v>Diego</x:v>
      </x:c>
      <x:c r="H398" s="74" t="n">
        <x:v>25489.75</x:v>
      </x:c>
      <x:c r="I398" s="74" t="n">
        <x:v>578.79</x:v>
      </x:c>
      <x:c r="J398" s="74" t="n">
        <x:v>13722.52</x:v>
      </x:c>
      <x:c r="K398" s="74" t="n">
        <x:v>24910.96</x:v>
      </x:c>
      <x:c r="L398" s="74" t="n">
        <x:v>11188.439999999999</x:v>
      </x:c>
    </x:row>
    <x:row r="399">
      <x:c r="A399" s="65" t="str">
        <x:v>TX-1402</x:v>
      </x:c>
      <x:c r="B399" s="65" t="str">
        <x:v>2026-02-09</x:v>
      </x:c>
      <x:c r="C399" s="65" t="str">
        <x:v>Marketing</x:v>
      </x:c>
      <x:c r="D399" s="65" t="str">
        <x:v>Parceiros</x:v>
      </x:c>
      <x:c r="E399" s="65" t="str">
        <x:v>Sudeste</x:v>
      </x:c>
      <x:c r="F399" s="65" t="str">
        <x:v>Crescer Educacao</x:v>
      </x:c>
      <x:c r="G399" s="65" t="str">
        <x:v>Elisa</x:v>
      </x:c>
      <x:c r="H399" s="74" t="n">
        <x:v>11792.06</x:v>
      </x:c>
      <x:c r="I399" s="74" t="n">
        <x:v>466.67</x:v>
      </x:c>
      <x:c r="J399" s="74" t="n">
        <x:v>8143.09</x:v>
      </x:c>
      <x:c r="K399" s="74" t="n">
        <x:v>11325.39</x:v>
      </x:c>
      <x:c r="L399" s="74" t="n">
        <x:v>3182.2999999999993</x:v>
      </x:c>
    </x:row>
    <x:row r="400">
      <x:c r="A400" s="65" t="str">
        <x:v>TX-1406</x:v>
      </x:c>
      <x:c r="B400" s="65" t="str">
        <x:v>2026-02-10</x:v>
      </x:c>
      <x:c r="C400" s="65" t="str">
        <x:v>Operacoes</x:v>
      </x:c>
      <x:c r="D400" s="65" t="str">
        <x:v>Digital</x:v>
      </x:c>
      <x:c r="E400" s="65" t="str">
        <x:v>Sudeste</x:v>
      </x:c>
      <x:c r="F400" s="65" t="str">
        <x:v>Delta Varejo</x:v>
      </x:c>
      <x:c r="G400" s="65" t="str">
        <x:v>Felipe</x:v>
      </x:c>
      <x:c r="H400" s="74" t="n">
        <x:v>26922.65</x:v>
      </x:c>
      <x:c r="I400" s="74" t="n">
        <x:v>1061.06</x:v>
      </x:c>
      <x:c r="J400" s="74" t="n">
        <x:v>17383.52</x:v>
      </x:c>
      <x:c r="K400" s="74" t="n">
        <x:v>25861.59</x:v>
      </x:c>
      <x:c r="L400" s="74" t="n">
        <x:v>8478.07</x:v>
      </x:c>
    </x:row>
    <x:row r="401">
      <x:c r="A401" s="65" t="str">
        <x:v>TX-1408</x:v>
      </x:c>
      <x:c r="B401" s="65" t="str">
        <x:v>2026-02-10</x:v>
      </x:c>
      <x:c r="C401" s="65" t="str">
        <x:v>Tecnologia</x:v>
      </x:c>
      <x:c r="D401" s="65" t="str">
        <x:v>Digital</x:v>
      </x:c>
      <x:c r="E401" s="65" t="str">
        <x:v>Nordeste</x:v>
      </x:c>
      <x:c r="F401" s="65" t="str">
        <x:v>Alfa Industria</x:v>
      </x:c>
      <x:c r="G401" s="65" t="str">
        <x:v>Elisa</x:v>
      </x:c>
      <x:c r="H401" s="74" t="n">
        <x:v>26155.53</x:v>
      </x:c>
      <x:c r="I401" s="74" t="n">
        <x:v>1161.64</x:v>
      </x:c>
      <x:c r="J401" s="74" t="n">
        <x:v>16116.59</x:v>
      </x:c>
      <x:c r="K401" s="74" t="n">
        <x:v>24993.89</x:v>
      </x:c>
      <x:c r="L401" s="74" t="n">
        <x:v>8877.3</x:v>
      </x:c>
    </x:row>
    <x:row r="402">
      <x:c r="A402" s="65" t="str">
        <x:v>TX-1416</x:v>
      </x:c>
      <x:c r="B402" s="65" t="str">
        <x:v>2026-02-11</x:v>
      </x:c>
      <x:c r="C402" s="65" t="str">
        <x:v>Marketing</x:v>
      </x:c>
      <x:c r="D402" s="65" t="str">
        <x:v>Direto</x:v>
      </x:c>
      <x:c r="E402" s="65" t="str">
        <x:v>Sul</x:v>
      </x:c>
      <x:c r="F402" s="65" t="str">
        <x:v>Evo Saude</x:v>
      </x:c>
      <x:c r="G402" s="65" t="str">
        <x:v>Diego</x:v>
      </x:c>
      <x:c r="H402" s="74" t="n">
        <x:v>12228.03</x:v>
      </x:c>
      <x:c r="I402" s="74" t="n">
        <x:v>552.98</x:v>
      </x:c>
      <x:c r="J402" s="74" t="n">
        <x:v>8693.8</x:v>
      </x:c>
      <x:c r="K402" s="74" t="n">
        <x:v>11675.050000000001</x:v>
      </x:c>
      <x:c r="L402" s="74" t="n">
        <x:v>2981.250000000002</x:v>
      </x:c>
    </x:row>
    <x:row r="403">
      <x:c r="A403" s="65" t="str">
        <x:v>TX-1383</x:v>
      </x:c>
      <x:c r="B403" s="65" t="str">
        <x:v>2026-02-13</x:v>
      </x:c>
      <x:c r="C403" s="65" t="str">
        <x:v>Comercial</x:v>
      </x:c>
      <x:c r="D403" s="65" t="str">
        <x:v>Digital</x:v>
      </x:c>
      <x:c r="E403" s="65" t="str">
        <x:v>Sul</x:v>
      </x:c>
      <x:c r="F403" s="65" t="str">
        <x:v>Gama Servicos</x:v>
      </x:c>
      <x:c r="G403" s="65" t="str">
        <x:v>Ana</x:v>
      </x:c>
      <x:c r="H403" s="74" t="n">
        <x:v>21905.29</x:v>
      </x:c>
      <x:c r="I403" s="74" t="n">
        <x:v>1676.52</x:v>
      </x:c>
      <x:c r="J403" s="74" t="n">
        <x:v>10913.87</x:v>
      </x:c>
      <x:c r="K403" s="74" t="n">
        <x:v>20228.77</x:v>
      </x:c>
      <x:c r="L403" s="74" t="n">
        <x:v>9314.9</x:v>
      </x:c>
    </x:row>
    <x:row r="404">
      <x:c r="A404" s="65" t="str">
        <x:v>TX-1391</x:v>
      </x:c>
      <x:c r="B404" s="65" t="str">
        <x:v>2026-02-13</x:v>
      </x:c>
      <x:c r="C404" s="65" t="str">
        <x:v>Operacoes</x:v>
      </x:c>
      <x:c r="D404" s="65" t="str">
        <x:v>Digital</x:v>
      </x:c>
      <x:c r="E404" s="65" t="str">
        <x:v>Sudeste</x:v>
      </x:c>
      <x:c r="F404" s="65" t="str">
        <x:v>Beta Logistica</x:v>
      </x:c>
      <x:c r="G404" s="65" t="str">
        <x:v>Bruno</x:v>
      </x:c>
      <x:c r="H404" s="74" t="n">
        <x:v>10388.08</x:v>
      </x:c>
      <x:c r="I404" s="74" t="n">
        <x:v>311.28</x:v>
      </x:c>
      <x:c r="J404" s="74" t="n">
        <x:v>6642.66</x:v>
      </x:c>
      <x:c r="K404" s="74" t="n">
        <x:v>10076.8</x:v>
      </x:c>
      <x:c r="L404" s="74" t="n">
        <x:v>3434.1399999999994</x:v>
      </x:c>
    </x:row>
    <x:row r="405">
      <x:c r="A405" s="65" t="str">
        <x:v>TX-1422</x:v>
      </x:c>
      <x:c r="B405" s="65" t="str">
        <x:v>2026-02-13</x:v>
      </x:c>
      <x:c r="C405" s="65" t="str">
        <x:v>Comercial</x:v>
      </x:c>
      <x:c r="D405" s="65" t="str">
        <x:v>Digital</x:v>
      </x:c>
      <x:c r="E405" s="65" t="str">
        <x:v>Nordeste</x:v>
      </x:c>
      <x:c r="F405" s="65" t="str">
        <x:v>Foco Energia</x:v>
      </x:c>
      <x:c r="G405" s="65" t="str">
        <x:v>Diego</x:v>
      </x:c>
      <x:c r="H405" s="74" t="n">
        <x:v>23405.38</x:v>
      </x:c>
      <x:c r="I405" s="74" t="n">
        <x:v>1540.69</x:v>
      </x:c>
      <x:c r="J405" s="74" t="n">
        <x:v>11479.43</x:v>
      </x:c>
      <x:c r="K405" s="74" t="n">
        <x:v>21864.690000000002</x:v>
      </x:c>
      <x:c r="L405" s="74" t="n">
        <x:v>10385.260000000002</x:v>
      </x:c>
    </x:row>
    <x:row r="406">
      <x:c r="A406" s="65" t="str">
        <x:v>TX-1417</x:v>
      </x:c>
      <x:c r="B406" s="65" t="str">
        <x:v>2026-02-13</x:v>
      </x:c>
      <x:c r="C406" s="65" t="str">
        <x:v>Operacoes</x:v>
      </x:c>
      <x:c r="D406" s="65" t="str">
        <x:v>Direto</x:v>
      </x:c>
      <x:c r="E406" s="65" t="str">
        <x:v>Nordeste</x:v>
      </x:c>
      <x:c r="F406" s="65" t="str">
        <x:v>Gama Servicos</x:v>
      </x:c>
      <x:c r="G406" s="65" t="str">
        <x:v>Elisa</x:v>
      </x:c>
      <x:c r="H406" s="74" t="n">
        <x:v>14888.18</x:v>
      </x:c>
      <x:c r="I406" s="74" t="n">
        <x:v>576.53</x:v>
      </x:c>
      <x:c r="J406" s="74" t="n">
        <x:v>9999.33</x:v>
      </x:c>
      <x:c r="K406" s="74" t="n">
        <x:v>14311.65</x:v>
      </x:c>
      <x:c r="L406" s="74" t="n">
        <x:v>4312.32</x:v>
      </x:c>
    </x:row>
    <x:row r="407">
      <x:c r="A407" s="65" t="str">
        <x:v>TX-1423</x:v>
      </x:c>
      <x:c r="B407" s="65" t="str">
        <x:v>2026-02-14</x:v>
      </x:c>
      <x:c r="C407" s="65" t="str">
        <x:v>Operacoes</x:v>
      </x:c>
      <x:c r="D407" s="65" t="str">
        <x:v>Direto</x:v>
      </x:c>
      <x:c r="E407" s="65" t="str">
        <x:v>Sudeste</x:v>
      </x:c>
      <x:c r="F407" s="65" t="str">
        <x:v>Evo Saude</x:v>
      </x:c>
      <x:c r="G407" s="65" t="str">
        <x:v>Felipe</x:v>
      </x:c>
      <x:c r="H407" s="74" t="n">
        <x:v>15444.22</x:v>
      </x:c>
      <x:c r="I407" s="74" t="n">
        <x:v>263.12</x:v>
      </x:c>
      <x:c r="J407" s="74" t="n">
        <x:v>10897.01</x:v>
      </x:c>
      <x:c r="K407" s="74" t="n">
        <x:v>15181.099999999999</x:v>
      </x:c>
      <x:c r="L407" s="74" t="n">
        <x:v>4284.089999999998</x:v>
      </x:c>
    </x:row>
    <x:row r="408">
      <x:c r="A408" s="65" t="str">
        <x:v>TX-1428</x:v>
      </x:c>
      <x:c r="B408" s="65" t="str">
        <x:v>2026-02-14</x:v>
      </x:c>
      <x:c r="C408" s="65" t="str">
        <x:v>Operacoes</x:v>
      </x:c>
      <x:c r="D408" s="65" t="str">
        <x:v>Parceiros</x:v>
      </x:c>
      <x:c r="E408" s="65" t="str">
        <x:v>Centro-Oeste</x:v>
      </x:c>
      <x:c r="F408" s="65" t="str">
        <x:v>Crescer Educacao</x:v>
      </x:c>
      <x:c r="G408" s="65" t="str">
        <x:v>Diego</x:v>
      </x:c>
      <x:c r="H408" s="74" t="n">
        <x:v>13772.4</x:v>
      </x:c>
      <x:c r="I408" s="74" t="n">
        <x:v>953.9</x:v>
      </x:c>
      <x:c r="J408" s="74" t="n">
        <x:v>8992.93</x:v>
      </x:c>
      <x:c r="K408" s="74" t="n">
        <x:v>12818.5</x:v>
      </x:c>
      <x:c r="L408" s="74" t="n">
        <x:v>3825.5699999999997</x:v>
      </x:c>
    </x:row>
    <x:row r="409">
      <x:c r="A409" s="65" t="str">
        <x:v>TX-1409</x:v>
      </x:c>
      <x:c r="B409" s="65" t="str">
        <x:v>2026-02-15</x:v>
      </x:c>
      <x:c r="C409" s="65" t="str">
        <x:v>Tecnologia</x:v>
      </x:c>
      <x:c r="D409" s="65" t="str">
        <x:v>Parceiros</x:v>
      </x:c>
      <x:c r="E409" s="65" t="str">
        <x:v>Sul</x:v>
      </x:c>
      <x:c r="F409" s="65" t="str">
        <x:v>Crescer Educacao</x:v>
      </x:c>
      <x:c r="G409" s="65" t="str">
        <x:v>Diego</x:v>
      </x:c>
      <x:c r="H409" s="74" t="n">
        <x:v>24805.64</x:v>
      </x:c>
      <x:c r="I409" s="74" t="n">
        <x:v>1024.7</x:v>
      </x:c>
      <x:c r="J409" s="74" t="n">
        <x:v>14977.37</x:v>
      </x:c>
      <x:c r="K409" s="74" t="n">
        <x:v>23780.94</x:v>
      </x:c>
      <x:c r="L409" s="74" t="n">
        <x:v>8803.569999999998</x:v>
      </x:c>
    </x:row>
    <x:row r="410">
      <x:c r="A410" s="65" t="str">
        <x:v>TX-1405</x:v>
      </x:c>
      <x:c r="B410" s="65" t="str">
        <x:v>2026-02-15</x:v>
      </x:c>
      <x:c r="C410" s="65" t="str">
        <x:v>Marketing</x:v>
      </x:c>
      <x:c r="D410" s="65" t="str">
        <x:v>Digital</x:v>
      </x:c>
      <x:c r="E410" s="65" t="str">
        <x:v>Centro-Oeste</x:v>
      </x:c>
      <x:c r="F410" s="65" t="str">
        <x:v>Alfa Industria</x:v>
      </x:c>
      <x:c r="G410" s="65" t="str">
        <x:v>Diego</x:v>
      </x:c>
      <x:c r="H410" s="74" t="n">
        <x:v>19148.43</x:v>
      </x:c>
      <x:c r="I410" s="74" t="n">
        <x:v>1373.2</x:v>
      </x:c>
      <x:c r="J410" s="74" t="n">
        <x:v>12349.27</x:v>
      </x:c>
      <x:c r="K410" s="74" t="n">
        <x:v>17775.23</x:v>
      </x:c>
      <x:c r="L410" s="74" t="n">
        <x:v>5425.959999999999</x:v>
      </x:c>
    </x:row>
    <x:row r="411">
      <x:c r="A411" s="65" t="str">
        <x:v>TX-1393</x:v>
      </x:c>
      <x:c r="B411" s="65" t="str">
        <x:v>2026-02-16</x:v>
      </x:c>
      <x:c r="C411" s="65" t="str">
        <x:v>Tecnologia</x:v>
      </x:c>
      <x:c r="D411" s="65" t="str">
        <x:v>Direto</x:v>
      </x:c>
      <x:c r="E411" s="65" t="str">
        <x:v>Centro-Oeste</x:v>
      </x:c>
      <x:c r="F411" s="65" t="str">
        <x:v>Delta Varejo</x:v>
      </x:c>
      <x:c r="G411" s="65" t="str">
        <x:v>Ana</x:v>
      </x:c>
      <x:c r="H411" s="74" t="n">
        <x:v>19389.95</x:v>
      </x:c>
      <x:c r="I411" s="74" t="n">
        <x:v>329.56</x:v>
      </x:c>
      <x:c r="J411" s="74" t="n">
        <x:v>11714.42</x:v>
      </x:c>
      <x:c r="K411" s="74" t="n">
        <x:v>19060.39</x:v>
      </x:c>
      <x:c r="L411" s="74" t="n">
        <x:v>7345.969999999999</x:v>
      </x:c>
    </x:row>
    <x:row r="412">
      <x:c r="A412" s="65" t="str">
        <x:v>TX-1429</x:v>
      </x:c>
      <x:c r="B412" s="65" t="str">
        <x:v>2026-02-17</x:v>
      </x:c>
      <x:c r="C412" s="65" t="str">
        <x:v>Operacoes</x:v>
      </x:c>
      <x:c r="D412" s="65" t="str">
        <x:v>Parceiros</x:v>
      </x:c>
      <x:c r="E412" s="65" t="str">
        <x:v>Nordeste</x:v>
      </x:c>
      <x:c r="F412" s="65" t="str">
        <x:v>Evo Saude</x:v>
      </x:c>
      <x:c r="G412" s="65" t="str">
        <x:v>Ana</x:v>
      </x:c>
      <x:c r="H412" s="74" t="n">
        <x:v>28061.08</x:v>
      </x:c>
      <x:c r="I412" s="74" t="n">
        <x:v>1247.94</x:v>
      </x:c>
      <x:c r="J412" s="74" t="n">
        <x:v>19072.82</x:v>
      </x:c>
      <x:c r="K412" s="74" t="n">
        <x:v>26813.140000000003</x:v>
      </x:c>
      <x:c r="L412" s="74" t="n">
        <x:v>7740.320000000003</x:v>
      </x:c>
    </x:row>
    <x:row r="413">
      <x:c r="A413" s="65" t="str">
        <x:v>TX-1382</x:v>
      </x:c>
      <x:c r="B413" s="65" t="str">
        <x:v>2026-02-17</x:v>
      </x:c>
      <x:c r="C413" s="65" t="str">
        <x:v>Marketing</x:v>
      </x:c>
      <x:c r="D413" s="65" t="str">
        <x:v>Direto</x:v>
      </x:c>
      <x:c r="E413" s="65" t="str">
        <x:v>Nordeste</x:v>
      </x:c>
      <x:c r="F413" s="65" t="str">
        <x:v>Gama Servicos</x:v>
      </x:c>
      <x:c r="G413" s="65" t="str">
        <x:v>Elisa</x:v>
      </x:c>
      <x:c r="H413" s="74" t="n">
        <x:v>15636.33</x:v>
      </x:c>
      <x:c r="I413" s="74" t="n">
        <x:v>727.87</x:v>
      </x:c>
      <x:c r="J413" s="74" t="n">
        <x:v>11245.31</x:v>
      </x:c>
      <x:c r="K413" s="74" t="n">
        <x:v>14908.46</x:v>
      </x:c>
      <x:c r="L413" s="74" t="n">
        <x:v>3663.1499999999996</x:v>
      </x:c>
    </x:row>
    <x:row r="414">
      <x:c r="A414" s="65" t="str">
        <x:v>TX-1427</x:v>
      </x:c>
      <x:c r="B414" s="65" t="str">
        <x:v>2026-02-18</x:v>
      </x:c>
      <x:c r="C414" s="65" t="str">
        <x:v>Operacoes</x:v>
      </x:c>
      <x:c r="D414" s="65" t="str">
        <x:v>Parceiros</x:v>
      </x:c>
      <x:c r="E414" s="65" t="str">
        <x:v>Centro-Oeste</x:v>
      </x:c>
      <x:c r="F414" s="65" t="str">
        <x:v>Foco Energia</x:v>
      </x:c>
      <x:c r="G414" s="65" t="str">
        <x:v>Ana</x:v>
      </x:c>
      <x:c r="H414" s="74" t="n">
        <x:v>17311.05</x:v>
      </x:c>
      <x:c r="I414" s="74" t="n">
        <x:v>1306.07</x:v>
      </x:c>
      <x:c r="J414" s="74" t="n">
        <x:v>11111.28</x:v>
      </x:c>
      <x:c r="K414" s="74" t="n">
        <x:v>16004.98</x:v>
      </x:c>
      <x:c r="L414" s="74" t="n">
        <x:v>4893.699999999999</x:v>
      </x:c>
    </x:row>
    <x:row r="415">
      <x:c r="A415" s="65" t="str">
        <x:v>TX-1404</x:v>
      </x:c>
      <x:c r="B415" s="65" t="str">
        <x:v>2026-02-18</x:v>
      </x:c>
      <x:c r="C415" s="65" t="str">
        <x:v>Tecnologia</x:v>
      </x:c>
      <x:c r="D415" s="65" t="str">
        <x:v>Digital</x:v>
      </x:c>
      <x:c r="E415" s="65" t="str">
        <x:v>Centro-Oeste</x:v>
      </x:c>
      <x:c r="F415" s="65" t="str">
        <x:v>Gama Servicos</x:v>
      </x:c>
      <x:c r="G415" s="65" t="str">
        <x:v>Felipe</x:v>
      </x:c>
      <x:c r="H415" s="74" t="n">
        <x:v>26487.46</x:v>
      </x:c>
      <x:c r="I415" s="74" t="n">
        <x:v>1790.7</x:v>
      </x:c>
      <x:c r="J415" s="74" t="n">
        <x:v>15923.92</x:v>
      </x:c>
      <x:c r="K415" s="74" t="n">
        <x:v>24696.76</x:v>
      </x:c>
      <x:c r="L415" s="74" t="n">
        <x:v>8772.839999999998</x:v>
      </x:c>
    </x:row>
    <x:row r="416">
      <x:c r="A416" s="65" t="str">
        <x:v>TX-1418</x:v>
      </x:c>
      <x:c r="B416" s="65" t="str">
        <x:v>2026-02-18</x:v>
      </x:c>
      <x:c r="C416" s="65" t="str">
        <x:v>Comercial</x:v>
      </x:c>
      <x:c r="D416" s="65" t="str">
        <x:v>Direto</x:v>
      </x:c>
      <x:c r="E416" s="65" t="str">
        <x:v>Sudeste</x:v>
      </x:c>
      <x:c r="F416" s="65" t="str">
        <x:v>Evo Saude</x:v>
      </x:c>
      <x:c r="G416" s="65" t="str">
        <x:v>Ana</x:v>
      </x:c>
      <x:c r="H416" s="74" t="n">
        <x:v>22127.71</x:v>
      </x:c>
      <x:c r="I416" s="74" t="n">
        <x:v>1604.33</x:v>
      </x:c>
      <x:c r="J416" s="74" t="n">
        <x:v>11503.3</x:v>
      </x:c>
      <x:c r="K416" s="74" t="n">
        <x:v>20523.379999999997</x:v>
      </x:c>
      <x:c r="L416" s="74" t="n">
        <x:v>9020.079999999998</x:v>
      </x:c>
    </x:row>
    <x:row r="417">
      <x:c r="A417" s="65" t="str">
        <x:v>TX-1399</x:v>
      </x:c>
      <x:c r="B417" s="65" t="str">
        <x:v>2026-02-19</x:v>
      </x:c>
      <x:c r="C417" s="65" t="str">
        <x:v>Comercial</x:v>
      </x:c>
      <x:c r="D417" s="65" t="str">
        <x:v>Digital</x:v>
      </x:c>
      <x:c r="E417" s="65" t="str">
        <x:v>Nordeste</x:v>
      </x:c>
      <x:c r="F417" s="65" t="str">
        <x:v>Alfa Industria</x:v>
      </x:c>
      <x:c r="G417" s="65" t="str">
        <x:v>Carla</x:v>
      </x:c>
      <x:c r="H417" s="74" t="n">
        <x:v>22460.81</x:v>
      </x:c>
      <x:c r="I417" s="74" t="n">
        <x:v>1190.29</x:v>
      </x:c>
      <x:c r="J417" s="74" t="n">
        <x:v>12834.09</x:v>
      </x:c>
      <x:c r="K417" s="74" t="n">
        <x:v>21270.52</x:v>
      </x:c>
      <x:c r="L417" s="74" t="n">
        <x:v>8436.43</x:v>
      </x:c>
    </x:row>
    <x:row r="418">
      <x:c r="A418" s="65" t="str">
        <x:v>TX-1397</x:v>
      </x:c>
      <x:c r="B418" s="65" t="str">
        <x:v>2026-02-20</x:v>
      </x:c>
      <x:c r="C418" s="65" t="str">
        <x:v>Marketing</x:v>
      </x:c>
      <x:c r="D418" s="65" t="str">
        <x:v>Digital</x:v>
      </x:c>
      <x:c r="E418" s="65" t="str">
        <x:v>Centro-Oeste</x:v>
      </x:c>
      <x:c r="F418" s="65" t="str">
        <x:v>Delta Varejo</x:v>
      </x:c>
      <x:c r="G418" s="65" t="str">
        <x:v>Ana</x:v>
      </x:c>
      <x:c r="H418" s="74" t="n">
        <x:v>14705.02</x:v>
      </x:c>
      <x:c r="I418" s="74" t="n">
        <x:v>275.11</x:v>
      </x:c>
      <x:c r="J418" s="74" t="n">
        <x:v>10847.67</x:v>
      </x:c>
      <x:c r="K418" s="74" t="n">
        <x:v>14429.91</x:v>
      </x:c>
      <x:c r="L418" s="74" t="n">
        <x:v>3582.24</x:v>
      </x:c>
    </x:row>
    <x:row r="419">
      <x:c r="A419" s="65" t="str">
        <x:v>TX-1386</x:v>
      </x:c>
      <x:c r="B419" s="65" t="str">
        <x:v>2026-02-20</x:v>
      </x:c>
      <x:c r="C419" s="65" t="str">
        <x:v>Comercial</x:v>
      </x:c>
      <x:c r="D419" s="65" t="str">
        <x:v>Parceiros</x:v>
      </x:c>
      <x:c r="E419" s="65" t="str">
        <x:v>Sul</x:v>
      </x:c>
      <x:c r="F419" s="65" t="str">
        <x:v>Horizonte Tech</x:v>
      </x:c>
      <x:c r="G419" s="65" t="str">
        <x:v>Carla</x:v>
      </x:c>
      <x:c r="H419" s="74" t="n">
        <x:v>21972.07</x:v>
      </x:c>
      <x:c r="I419" s="74" t="n">
        <x:v>1086.13</x:v>
      </x:c>
      <x:c r="J419" s="74" t="n">
        <x:v>11350.49</x:v>
      </x:c>
      <x:c r="K419" s="74" t="n">
        <x:v>20885.94</x:v>
      </x:c>
      <x:c r="L419" s="74" t="n">
        <x:v>9535.449999999999</x:v>
      </x:c>
    </x:row>
    <x:row r="420">
      <x:c r="A420" s="65" t="str">
        <x:v>TX-1381</x:v>
      </x:c>
      <x:c r="B420" s="65" t="str">
        <x:v>2026-02-21</x:v>
      </x:c>
      <x:c r="C420" s="65" t="str">
        <x:v>Tecnologia</x:v>
      </x:c>
      <x:c r="D420" s="65" t="str">
        <x:v>Direto</x:v>
      </x:c>
      <x:c r="E420" s="65" t="str">
        <x:v>Sul</x:v>
      </x:c>
      <x:c r="F420" s="65" t="str">
        <x:v>Beta Logistica</x:v>
      </x:c>
      <x:c r="G420" s="65" t="str">
        <x:v>Ana</x:v>
      </x:c>
      <x:c r="H420" s="74" t="n">
        <x:v>20753.55</x:v>
      </x:c>
      <x:c r="I420" s="74" t="n">
        <x:v>1373.66</x:v>
      </x:c>
      <x:c r="J420" s="74" t="n">
        <x:v>12491.84</x:v>
      </x:c>
      <x:c r="K420" s="74" t="n">
        <x:v>19379.89</x:v>
      </x:c>
      <x:c r="L420" s="74" t="n">
        <x:v>6888.049999999999</x:v>
      </x:c>
    </x:row>
    <x:row r="421">
      <x:c r="A421" s="65" t="str">
        <x:v>TX-1398</x:v>
      </x:c>
      <x:c r="B421" s="65" t="str">
        <x:v>2026-02-21</x:v>
      </x:c>
      <x:c r="C421" s="65" t="str">
        <x:v>Tecnologia</x:v>
      </x:c>
      <x:c r="D421" s="65" t="str">
        <x:v>Digital</x:v>
      </x:c>
      <x:c r="E421" s="65" t="str">
        <x:v>Nordeste</x:v>
      </x:c>
      <x:c r="F421" s="65" t="str">
        <x:v>Delta Varejo</x:v>
      </x:c>
      <x:c r="G421" s="65" t="str">
        <x:v>Elisa</x:v>
      </x:c>
      <x:c r="H421" s="74" t="n">
        <x:v>24074.21</x:v>
      </x:c>
      <x:c r="I421" s="74" t="n">
        <x:v>1842.8</x:v>
      </x:c>
      <x:c r="J421" s="74" t="n">
        <x:v>13556.86</x:v>
      </x:c>
      <x:c r="K421" s="74" t="n">
        <x:v>22231.41</x:v>
      </x:c>
      <x:c r="L421" s="74" t="n">
        <x:v>8674.55</x:v>
      </x:c>
    </x:row>
    <x:row r="422">
      <x:c r="A422" s="65" t="str">
        <x:v>TX-1411</x:v>
      </x:c>
      <x:c r="B422" s="65" t="str">
        <x:v>2026-02-22</x:v>
      </x:c>
      <x:c r="C422" s="65" t="str">
        <x:v>Comercial</x:v>
      </x:c>
      <x:c r="D422" s="65" t="str">
        <x:v>Parceiros</x:v>
      </x:c>
      <x:c r="E422" s="65" t="str">
        <x:v>Sudeste</x:v>
      </x:c>
      <x:c r="F422" s="65" t="str">
        <x:v>Foco Energia</x:v>
      </x:c>
      <x:c r="G422" s="65" t="str">
        <x:v>Elisa</x:v>
      </x:c>
      <x:c r="H422" s="74" t="n">
        <x:v>21548.31</x:v>
      </x:c>
      <x:c r="I422" s="74" t="n">
        <x:v>645.84</x:v>
      </x:c>
      <x:c r="J422" s="74" t="n">
        <x:v>10998.32</x:v>
      </x:c>
      <x:c r="K422" s="74" t="n">
        <x:v>20902.47</x:v>
      </x:c>
      <x:c r="L422" s="74" t="n">
        <x:v>9904.150000000001</x:v>
      </x:c>
    </x:row>
    <x:row r="423">
      <x:c r="A423" s="65" t="str">
        <x:v>TX-1431</x:v>
      </x:c>
      <x:c r="B423" s="65" t="str">
        <x:v>2026-02-22</x:v>
      </x:c>
      <x:c r="C423" s="65" t="str">
        <x:v>Operacoes</x:v>
      </x:c>
      <x:c r="D423" s="65" t="str">
        <x:v>Parceiros</x:v>
      </x:c>
      <x:c r="E423" s="65" t="str">
        <x:v>Sul</x:v>
      </x:c>
      <x:c r="F423" s="65" t="str">
        <x:v>Gama Servicos</x:v>
      </x:c>
      <x:c r="G423" s="65" t="str">
        <x:v>Diego</x:v>
      </x:c>
      <x:c r="H423" s="74" t="n">
        <x:v>20207.43</x:v>
      </x:c>
      <x:c r="I423" s="74" t="n">
        <x:v>242.09</x:v>
      </x:c>
      <x:c r="J423" s="74" t="n">
        <x:v>14584.22</x:v>
      </x:c>
      <x:c r="K423" s="74" t="n">
        <x:v>19965.34</x:v>
      </x:c>
      <x:c r="L423" s="74" t="n">
        <x:v>5381.120000000001</x:v>
      </x:c>
    </x:row>
    <x:row r="424">
      <x:c r="A424" s="65" t="str">
        <x:v>TX-1379</x:v>
      </x:c>
      <x:c r="B424" s="65" t="str">
        <x:v>2026-02-22</x:v>
      </x:c>
      <x:c r="C424" s="65" t="str">
        <x:v>Operacoes</x:v>
      </x:c>
      <x:c r="D424" s="65" t="str">
        <x:v>Digital</x:v>
      </x:c>
      <x:c r="E424" s="65" t="str">
        <x:v>Sudeste</x:v>
      </x:c>
      <x:c r="F424" s="65" t="str">
        <x:v>Delta Varejo</x:v>
      </x:c>
      <x:c r="G424" s="65" t="str">
        <x:v>Bruno</x:v>
      </x:c>
      <x:c r="H424" s="74" t="n">
        <x:v>17652.96</x:v>
      </x:c>
      <x:c r="I424" s="74" t="n">
        <x:v>631.56</x:v>
      </x:c>
      <x:c r="J424" s="74" t="n">
        <x:v>11930.18</x:v>
      </x:c>
      <x:c r="K424" s="74" t="n">
        <x:v>17021.399999999998</x:v>
      </x:c>
      <x:c r="L424" s="74" t="n">
        <x:v>5091.2199999999975</x:v>
      </x:c>
    </x:row>
    <x:row r="425">
      <x:c r="A425" s="65" t="str">
        <x:v>TX-1395</x:v>
      </x:c>
      <x:c r="B425" s="65" t="str">
        <x:v>2026-02-22</x:v>
      </x:c>
      <x:c r="C425" s="65" t="str">
        <x:v>Comercial</x:v>
      </x:c>
      <x:c r="D425" s="65" t="str">
        <x:v>Parceiros</x:v>
      </x:c>
      <x:c r="E425" s="65" t="str">
        <x:v>Sudeste</x:v>
      </x:c>
      <x:c r="F425" s="65" t="str">
        <x:v>Foco Energia</x:v>
      </x:c>
      <x:c r="G425" s="65" t="str">
        <x:v>Bruno</x:v>
      </x:c>
      <x:c r="H425" s="74" t="n">
        <x:v>25711.3</x:v>
      </x:c>
      <x:c r="I425" s="74" t="n">
        <x:v>303.94</x:v>
      </x:c>
      <x:c r="J425" s="74" t="n">
        <x:v>15371.76</x:v>
      </x:c>
      <x:c r="K425" s="74" t="n">
        <x:v>25407.36</x:v>
      </x:c>
      <x:c r="L425" s="74" t="n">
        <x:v>10035.6</x:v>
      </x:c>
    </x:row>
    <x:row r="426">
      <x:c r="A426" s="65" t="str">
        <x:v>TX-1413</x:v>
      </x:c>
      <x:c r="B426" s="65" t="str">
        <x:v>2026-02-22</x:v>
      </x:c>
      <x:c r="C426" s="65" t="str">
        <x:v>Comercial</x:v>
      </x:c>
      <x:c r="D426" s="65" t="str">
        <x:v>Digital</x:v>
      </x:c>
      <x:c r="E426" s="65" t="str">
        <x:v>Centro-Oeste</x:v>
      </x:c>
      <x:c r="F426" s="65" t="str">
        <x:v>Gama Servicos</x:v>
      </x:c>
      <x:c r="G426" s="65" t="str">
        <x:v>Elisa</x:v>
      </x:c>
      <x:c r="H426" s="74" t="n">
        <x:v>28234.22</x:v>
      </x:c>
      <x:c r="I426" s="74" t="n">
        <x:v>345.88</x:v>
      </x:c>
      <x:c r="J426" s="74" t="n">
        <x:v>15766.64</x:v>
      </x:c>
      <x:c r="K426" s="74" t="n">
        <x:v>27888.34</x:v>
      </x:c>
      <x:c r="L426" s="74" t="n">
        <x:v>12121.7</x:v>
      </x:c>
    </x:row>
    <x:row r="427">
      <x:c r="A427" s="65" t="str">
        <x:v>TX-1420</x:v>
      </x:c>
      <x:c r="B427" s="65" t="str">
        <x:v>2026-02-22</x:v>
      </x:c>
      <x:c r="C427" s="65" t="str">
        <x:v>Comercial</x:v>
      </x:c>
      <x:c r="D427" s="65" t="str">
        <x:v>Parceiros</x:v>
      </x:c>
      <x:c r="E427" s="65" t="str">
        <x:v>Sul</x:v>
      </x:c>
      <x:c r="F427" s="65" t="str">
        <x:v>Gama Servicos</x:v>
      </x:c>
      <x:c r="G427" s="65" t="str">
        <x:v>Bruno</x:v>
      </x:c>
      <x:c r="H427" s="74" t="n">
        <x:v>25371.18</x:v>
      </x:c>
      <x:c r="I427" s="74" t="n">
        <x:v>564.47</x:v>
      </x:c>
      <x:c r="J427" s="74" t="n">
        <x:v>14029.18</x:v>
      </x:c>
      <x:c r="K427" s="74" t="n">
        <x:v>24806.71</x:v>
      </x:c>
      <x:c r="L427" s="74" t="n">
        <x:v>10777.529999999999</x:v>
      </x:c>
    </x:row>
    <x:row r="428">
      <x:c r="A428" s="65" t="str">
        <x:v>TX-1430</x:v>
      </x:c>
      <x:c r="B428" s="65" t="str">
        <x:v>2026-02-23</x:v>
      </x:c>
      <x:c r="C428" s="65" t="str">
        <x:v>Comercial</x:v>
      </x:c>
      <x:c r="D428" s="65" t="str">
        <x:v>Direto</x:v>
      </x:c>
      <x:c r="E428" s="65" t="str">
        <x:v>Sudeste</x:v>
      </x:c>
      <x:c r="F428" s="65" t="str">
        <x:v>Alfa Industria</x:v>
      </x:c>
      <x:c r="G428" s="65" t="str">
        <x:v>Bruno</x:v>
      </x:c>
      <x:c r="H428" s="74" t="n">
        <x:v>27520.14</x:v>
      </x:c>
      <x:c r="I428" s="74" t="n">
        <x:v>1683.46</x:v>
      </x:c>
      <x:c r="J428" s="74" t="n">
        <x:v>13792.88</x:v>
      </x:c>
      <x:c r="K428" s="74" t="n">
        <x:v>25836.68</x:v>
      </x:c>
      <x:c r="L428" s="74" t="n">
        <x:v>12043.800000000001</x:v>
      </x:c>
    </x:row>
    <x:row r="429">
      <x:c r="A429" s="65" t="str">
        <x:v>TX-1425</x:v>
      </x:c>
      <x:c r="B429" s="65" t="str">
        <x:v>2026-02-23</x:v>
      </x:c>
      <x:c r="C429" s="65" t="str">
        <x:v>Comercial</x:v>
      </x:c>
      <x:c r="D429" s="65" t="str">
        <x:v>Parceiros</x:v>
      </x:c>
      <x:c r="E429" s="65" t="str">
        <x:v>Nordeste</x:v>
      </x:c>
      <x:c r="F429" s="65" t="str">
        <x:v>Alfa Industria</x:v>
      </x:c>
      <x:c r="G429" s="65" t="str">
        <x:v>Bruno</x:v>
      </x:c>
      <x:c r="H429" s="74" t="n">
        <x:v>23361.88</x:v>
      </x:c>
      <x:c r="I429" s="74" t="n">
        <x:v>813.71</x:v>
      </x:c>
      <x:c r="J429" s="74" t="n">
        <x:v>12706.68</x:v>
      </x:c>
      <x:c r="K429" s="74" t="n">
        <x:v>22548.170000000002</x:v>
      </x:c>
      <x:c r="L429" s="74" t="n">
        <x:v>9841.490000000002</x:v>
      </x:c>
    </x:row>
    <x:row r="430">
      <x:c r="A430" s="65" t="str">
        <x:v>TX-1384</x:v>
      </x:c>
      <x:c r="B430" s="65" t="str">
        <x:v>2026-02-23</x:v>
      </x:c>
      <x:c r="C430" s="65" t="str">
        <x:v>Marketing</x:v>
      </x:c>
      <x:c r="D430" s="65" t="str">
        <x:v>Parceiros</x:v>
      </x:c>
      <x:c r="E430" s="65" t="str">
        <x:v>Nordeste</x:v>
      </x:c>
      <x:c r="F430" s="65" t="str">
        <x:v>Delta Varejo</x:v>
      </x:c>
      <x:c r="G430" s="65" t="str">
        <x:v>Felipe</x:v>
      </x:c>
      <x:c r="H430" s="74" t="n">
        <x:v>12225.08</x:v>
      </x:c>
      <x:c r="I430" s="74" t="n">
        <x:v>577.87</x:v>
      </x:c>
      <x:c r="J430" s="74" t="n">
        <x:v>8476.38</x:v>
      </x:c>
      <x:c r="K430" s="74" t="n">
        <x:v>11647.21</x:v>
      </x:c>
      <x:c r="L430" s="74" t="n">
        <x:v>3170.83</x:v>
      </x:c>
    </x:row>
    <x:row r="431">
      <x:c r="A431" s="65" t="str">
        <x:v>TX-1380</x:v>
      </x:c>
      <x:c r="B431" s="65" t="str">
        <x:v>2026-02-24</x:v>
      </x:c>
      <x:c r="C431" s="65" t="str">
        <x:v>Tecnologia</x:v>
      </x:c>
      <x:c r="D431" s="65" t="str">
        <x:v>Direto</x:v>
      </x:c>
      <x:c r="E431" s="65" t="str">
        <x:v>Sudeste</x:v>
      </x:c>
      <x:c r="F431" s="65" t="str">
        <x:v>Crescer Educacao</x:v>
      </x:c>
      <x:c r="G431" s="65" t="str">
        <x:v>Ana</x:v>
      </x:c>
      <x:c r="H431" s="74" t="n">
        <x:v>19483.48</x:v>
      </x:c>
      <x:c r="I431" s="74" t="n">
        <x:v>883.79</x:v>
      </x:c>
      <x:c r="J431" s="74" t="n">
        <x:v>10684.57</x:v>
      </x:c>
      <x:c r="K431" s="74" t="n">
        <x:v>18599.69</x:v>
      </x:c>
      <x:c r="L431" s="74" t="n">
        <x:v>7915.119999999999</x:v>
      </x:c>
    </x:row>
    <x:row r="432">
      <x:c r="A432" s="65" t="str">
        <x:v>TX-1407</x:v>
      </x:c>
      <x:c r="B432" s="65" t="str">
        <x:v>2026-02-24</x:v>
      </x:c>
      <x:c r="C432" s="65" t="str">
        <x:v>Tecnologia</x:v>
      </x:c>
      <x:c r="D432" s="65" t="str">
        <x:v>Direto</x:v>
      </x:c>
      <x:c r="E432" s="65" t="str">
        <x:v>Centro-Oeste</x:v>
      </x:c>
      <x:c r="F432" s="65" t="str">
        <x:v>Foco Energia</x:v>
      </x:c>
      <x:c r="G432" s="65" t="str">
        <x:v>Carla</x:v>
      </x:c>
      <x:c r="H432" s="74" t="n">
        <x:v>14403.14</x:v>
      </x:c>
      <x:c r="I432" s="74" t="n">
        <x:v>250.84</x:v>
      </x:c>
      <x:c r="J432" s="74" t="n">
        <x:v>8966.82</x:v>
      </x:c>
      <x:c r="K432" s="74" t="n">
        <x:v>14152.3</x:v>
      </x:c>
      <x:c r="L432" s="74" t="n">
        <x:v>5185.48</x:v>
      </x:c>
    </x:row>
    <x:row r="433">
      <x:c r="A433" s="65" t="str">
        <x:v>TX-1390</x:v>
      </x:c>
      <x:c r="B433" s="65" t="str">
        <x:v>2026-02-24</x:v>
      </x:c>
      <x:c r="C433" s="65" t="str">
        <x:v>Tecnologia</x:v>
      </x:c>
      <x:c r="D433" s="65" t="str">
        <x:v>Direto</x:v>
      </x:c>
      <x:c r="E433" s="65" t="str">
        <x:v>Nordeste</x:v>
      </x:c>
      <x:c r="F433" s="65" t="str">
        <x:v>Evo Saude</x:v>
      </x:c>
      <x:c r="G433" s="65" t="str">
        <x:v>Bruno</x:v>
      </x:c>
      <x:c r="H433" s="74" t="n">
        <x:v>24773.7</x:v>
      </x:c>
      <x:c r="I433" s="74" t="n">
        <x:v>547.62</x:v>
      </x:c>
      <x:c r="J433" s="74" t="n">
        <x:v>14556.27</x:v>
      </x:c>
      <x:c r="K433" s="74" t="n">
        <x:v>24226.08</x:v>
      </x:c>
      <x:c r="L433" s="74" t="n">
        <x:v>9669.810000000001</x:v>
      </x:c>
    </x:row>
    <x:row r="434">
      <x:c r="A434" s="65" t="str">
        <x:v>TX-1483</x:v>
      </x:c>
      <x:c r="B434" s="65" t="str">
        <x:v>2026-03-01</x:v>
      </x:c>
      <x:c r="C434" s="65" t="str">
        <x:v>Tecnologia</x:v>
      </x:c>
      <x:c r="D434" s="65" t="str">
        <x:v>Parceiros</x:v>
      </x:c>
      <x:c r="E434" s="65" t="str">
        <x:v>Sul</x:v>
      </x:c>
      <x:c r="F434" s="65" t="str">
        <x:v>Alfa Industria</x:v>
      </x:c>
      <x:c r="G434" s="65" t="str">
        <x:v>Ana</x:v>
      </x:c>
      <x:c r="H434" s="74" t="n">
        <x:v>17238.54</x:v>
      </x:c>
      <x:c r="I434" s="74" t="n">
        <x:v>321.76</x:v>
      </x:c>
      <x:c r="J434" s="74" t="n">
        <x:v>10685.66</x:v>
      </x:c>
      <x:c r="K434" s="74" t="n">
        <x:v>16916.780000000002</x:v>
      </x:c>
      <x:c r="L434" s="74" t="n">
        <x:v>6231.120000000003</x:v>
      </x:c>
    </x:row>
    <x:row r="435">
      <x:c r="A435" s="65" t="str">
        <x:v>TX-1476</x:v>
      </x:c>
      <x:c r="B435" s="65" t="str">
        <x:v>2026-03-01</x:v>
      </x:c>
      <x:c r="C435" s="65" t="str">
        <x:v>Operacoes</x:v>
      </x:c>
      <x:c r="D435" s="65" t="str">
        <x:v>Digital</x:v>
      </x:c>
      <x:c r="E435" s="65" t="str">
        <x:v>Sul</x:v>
      </x:c>
      <x:c r="F435" s="65" t="str">
        <x:v>Crescer Educacao</x:v>
      </x:c>
      <x:c r="G435" s="65" t="str">
        <x:v>Elisa</x:v>
      </x:c>
      <x:c r="H435" s="74" t="n">
        <x:v>14346.87</x:v>
      </x:c>
      <x:c r="I435" s="74" t="n">
        <x:v>792.66</x:v>
      </x:c>
      <x:c r="J435" s="74" t="n">
        <x:v>8982.52</x:v>
      </x:c>
      <x:c r="K435" s="74" t="n">
        <x:v>13554.210000000001</x:v>
      </x:c>
      <x:c r="L435" s="74" t="n">
        <x:v>4571.6900000000005</x:v>
      </x:c>
    </x:row>
    <x:row r="436">
      <x:c r="A436" s="65" t="str">
        <x:v>TX-1481</x:v>
      </x:c>
      <x:c r="B436" s="65" t="str">
        <x:v>2026-03-02</x:v>
      </x:c>
      <x:c r="C436" s="65" t="str">
        <x:v>Operacoes</x:v>
      </x:c>
      <x:c r="D436" s="65" t="str">
        <x:v>Parceiros</x:v>
      </x:c>
      <x:c r="E436" s="65" t="str">
        <x:v>Centro-Oeste</x:v>
      </x:c>
      <x:c r="F436" s="65" t="str">
        <x:v>Alfa Industria</x:v>
      </x:c>
      <x:c r="G436" s="65" t="str">
        <x:v>Ana</x:v>
      </x:c>
      <x:c r="H436" s="74" t="n">
        <x:v>19034.7</x:v>
      </x:c>
      <x:c r="I436" s="74" t="n">
        <x:v>594.52</x:v>
      </x:c>
      <x:c r="J436" s="74" t="n">
        <x:v>12523.07</x:v>
      </x:c>
      <x:c r="K436" s="74" t="n">
        <x:v>18440.18</x:v>
      </x:c>
      <x:c r="L436" s="74" t="n">
        <x:v>5917.110000000001</x:v>
      </x:c>
    </x:row>
    <x:row r="437">
      <x:c r="A437" s="65" t="str">
        <x:v>TX-1436</x:v>
      </x:c>
      <x:c r="B437" s="65" t="str">
        <x:v>2026-03-02</x:v>
      </x:c>
      <x:c r="C437" s="65" t="str">
        <x:v>Comercial</x:v>
      </x:c>
      <x:c r="D437" s="65" t="str">
        <x:v>Digital</x:v>
      </x:c>
      <x:c r="E437" s="65" t="str">
        <x:v>Nordeste</x:v>
      </x:c>
      <x:c r="F437" s="65" t="str">
        <x:v>Delta Varejo</x:v>
      </x:c>
      <x:c r="G437" s="65" t="str">
        <x:v>Diego</x:v>
      </x:c>
      <x:c r="H437" s="74" t="n">
        <x:v>25928.12</x:v>
      </x:c>
      <x:c r="I437" s="74" t="n">
        <x:v>681.36</x:v>
      </x:c>
      <x:c r="J437" s="74" t="n">
        <x:v>13895.33</x:v>
      </x:c>
      <x:c r="K437" s="74" t="n">
        <x:v>25246.76</x:v>
      </x:c>
      <x:c r="L437" s="74" t="n">
        <x:v>11351.429999999998</x:v>
      </x:c>
    </x:row>
    <x:row r="438">
      <x:c r="A438" s="65" t="str">
        <x:v>TX-1446</x:v>
      </x:c>
      <x:c r="B438" s="65" t="str">
        <x:v>2026-03-03</x:v>
      </x:c>
      <x:c r="C438" s="65" t="str">
        <x:v>Operacoes</x:v>
      </x:c>
      <x:c r="D438" s="65" t="str">
        <x:v>Parceiros</x:v>
      </x:c>
      <x:c r="E438" s="65" t="str">
        <x:v>Sul</x:v>
      </x:c>
      <x:c r="F438" s="65" t="str">
        <x:v>Beta Logistica</x:v>
      </x:c>
      <x:c r="G438" s="65" t="str">
        <x:v>Elisa</x:v>
      </x:c>
      <x:c r="H438" s="74" t="n">
        <x:v>16861.66</x:v>
      </x:c>
      <x:c r="I438" s="74" t="n">
        <x:v>798.18</x:v>
      </x:c>
      <x:c r="J438" s="74" t="n">
        <x:v>10768.07</x:v>
      </x:c>
      <x:c r="K438" s="74" t="n">
        <x:v>16063.48</x:v>
      </x:c>
      <x:c r="L438" s="74" t="n">
        <x:v>5295.41</x:v>
      </x:c>
    </x:row>
    <x:row r="439">
      <x:c r="A439" s="65" t="str">
        <x:v>TX-1461</x:v>
      </x:c>
      <x:c r="B439" s="65" t="str">
        <x:v>2026-03-03</x:v>
      </x:c>
      <x:c r="C439" s="65" t="str">
        <x:v>Comercial</x:v>
      </x:c>
      <x:c r="D439" s="65" t="str">
        <x:v>Parceiros</x:v>
      </x:c>
      <x:c r="E439" s="65" t="str">
        <x:v>Centro-Oeste</x:v>
      </x:c>
      <x:c r="F439" s="65" t="str">
        <x:v>Delta Varejo</x:v>
      </x:c>
      <x:c r="G439" s="65" t="str">
        <x:v>Elisa</x:v>
      </x:c>
      <x:c r="H439" s="74" t="n">
        <x:v>24116.91</x:v>
      </x:c>
      <x:c r="I439" s="74" t="n">
        <x:v>735.7</x:v>
      </x:c>
      <x:c r="J439" s="74" t="n">
        <x:v>13170.69</x:v>
      </x:c>
      <x:c r="K439" s="74" t="n">
        <x:v>23381.21</x:v>
      </x:c>
      <x:c r="L439" s="74" t="n">
        <x:v>10210.519999999999</x:v>
      </x:c>
    </x:row>
    <x:row r="440">
      <x:c r="A440" s="65" t="str">
        <x:v>TX-1484</x:v>
      </x:c>
      <x:c r="B440" s="65" t="str">
        <x:v>2026-03-04</x:v>
      </x:c>
      <x:c r="C440" s="65" t="str">
        <x:v>Comercial</x:v>
      </x:c>
      <x:c r="D440" s="65" t="str">
        <x:v>Digital</x:v>
      </x:c>
      <x:c r="E440" s="65" t="str">
        <x:v>Centro-Oeste</x:v>
      </x:c>
      <x:c r="F440" s="65" t="str">
        <x:v>Beta Logistica</x:v>
      </x:c>
      <x:c r="G440" s="65" t="str">
        <x:v>Ana</x:v>
      </x:c>
      <x:c r="H440" s="74" t="n">
        <x:v>22234.88</x:v>
      </x:c>
      <x:c r="I440" s="74" t="n">
        <x:v>708.12</x:v>
      </x:c>
      <x:c r="J440" s="74" t="n">
        <x:v>12680.19</x:v>
      </x:c>
      <x:c r="K440" s="74" t="n">
        <x:v>21526.760000000002</x:v>
      </x:c>
      <x:c r="L440" s="74" t="n">
        <x:v>8846.570000000002</x:v>
      </x:c>
    </x:row>
    <x:row r="441">
      <x:c r="A441" s="65" t="str">
        <x:v>TX-1450</x:v>
      </x:c>
      <x:c r="B441" s="65" t="str">
        <x:v>2026-03-04</x:v>
      </x:c>
      <x:c r="C441" s="65" t="str">
        <x:v>Tecnologia</x:v>
      </x:c>
      <x:c r="D441" s="65" t="str">
        <x:v>Digital</x:v>
      </x:c>
      <x:c r="E441" s="65" t="str">
        <x:v>Centro-Oeste</x:v>
      </x:c>
      <x:c r="F441" s="65" t="str">
        <x:v>Beta Logistica</x:v>
      </x:c>
      <x:c r="G441" s="65" t="str">
        <x:v>Ana</x:v>
      </x:c>
      <x:c r="H441" s="74" t="n">
        <x:v>17942.26</x:v>
      </x:c>
      <x:c r="I441" s="74" t="n">
        <x:v>486.66</x:v>
      </x:c>
      <x:c r="J441" s="74" t="n">
        <x:v>10771.42</x:v>
      </x:c>
      <x:c r="K441" s="74" t="n">
        <x:v>17455.6</x:v>
      </x:c>
      <x:c r="L441" s="74" t="n">
        <x:v>6684.1799999999985</x:v>
      </x:c>
    </x:row>
    <x:row r="442">
      <x:c r="A442" s="65" t="str">
        <x:v>TX-1458</x:v>
      </x:c>
      <x:c r="B442" s="65" t="str">
        <x:v>2026-03-04</x:v>
      </x:c>
      <x:c r="C442" s="65" t="str">
        <x:v>Comercial</x:v>
      </x:c>
      <x:c r="D442" s="65" t="str">
        <x:v>Direto</x:v>
      </x:c>
      <x:c r="E442" s="65" t="str">
        <x:v>Centro-Oeste</x:v>
      </x:c>
      <x:c r="F442" s="65" t="str">
        <x:v>Evo Saude</x:v>
      </x:c>
      <x:c r="G442" s="65" t="str">
        <x:v>Felipe</x:v>
      </x:c>
      <x:c r="H442" s="74" t="n">
        <x:v>19186.78</x:v>
      </x:c>
      <x:c r="I442" s="74" t="n">
        <x:v>1254.06</x:v>
      </x:c>
      <x:c r="J442" s="74" t="n">
        <x:v>10345.5</x:v>
      </x:c>
      <x:c r="K442" s="74" t="n">
        <x:v>17932.719999999998</x:v>
      </x:c>
      <x:c r="L442" s="74" t="n">
        <x:v>7587.2199999999975</x:v>
      </x:c>
    </x:row>
    <x:row r="443">
      <x:c r="A443" s="65" t="str">
        <x:v>TX-1482</x:v>
      </x:c>
      <x:c r="B443" s="65" t="str">
        <x:v>2026-03-04</x:v>
      </x:c>
      <x:c r="C443" s="65" t="str">
        <x:v>Operacoes</x:v>
      </x:c>
      <x:c r="D443" s="65" t="str">
        <x:v>Digital</x:v>
      </x:c>
      <x:c r="E443" s="65" t="str">
        <x:v>Sul</x:v>
      </x:c>
      <x:c r="F443" s="65" t="str">
        <x:v>Beta Logistica</x:v>
      </x:c>
      <x:c r="G443" s="65" t="str">
        <x:v>Carla</x:v>
      </x:c>
      <x:c r="H443" s="74" t="n">
        <x:v>19808.45</x:v>
      </x:c>
      <x:c r="I443" s="74" t="n">
        <x:v>1217.34</x:v>
      </x:c>
      <x:c r="J443" s="74" t="n">
        <x:v>12469.66</x:v>
      </x:c>
      <x:c r="K443" s="74" t="n">
        <x:v>18591.11</x:v>
      </x:c>
      <x:c r="L443" s="74" t="n">
        <x:v>6121.450000000001</x:v>
      </x:c>
    </x:row>
    <x:row r="444">
      <x:c r="A444" s="65" t="str">
        <x:v>TX-1443</x:v>
      </x:c>
      <x:c r="B444" s="65" t="str">
        <x:v>2026-03-04</x:v>
      </x:c>
      <x:c r="C444" s="65" t="str">
        <x:v>Marketing</x:v>
      </x:c>
      <x:c r="D444" s="65" t="str">
        <x:v>Digital</x:v>
      </x:c>
      <x:c r="E444" s="65" t="str">
        <x:v>Sudeste</x:v>
      </x:c>
      <x:c r="F444" s="65" t="str">
        <x:v>Delta Varejo</x:v>
      </x:c>
      <x:c r="G444" s="65" t="str">
        <x:v>Felipe</x:v>
      </x:c>
      <x:c r="H444" s="74" t="n">
        <x:v>22928.68</x:v>
      </x:c>
      <x:c r="I444" s="74" t="n">
        <x:v>1208.81</x:v>
      </x:c>
      <x:c r="J444" s="74" t="n">
        <x:v>14501.31</x:v>
      </x:c>
      <x:c r="K444" s="74" t="n">
        <x:v>21719.87</x:v>
      </x:c>
      <x:c r="L444" s="74" t="n">
        <x:v>7218.5599999999995</x:v>
      </x:c>
    </x:row>
    <x:row r="445">
      <x:c r="A445" s="65" t="str">
        <x:v>TX-1479</x:v>
      </x:c>
      <x:c r="B445" s="65" t="str">
        <x:v>2026-03-05</x:v>
      </x:c>
      <x:c r="C445" s="65" t="str">
        <x:v>Comercial</x:v>
      </x:c>
      <x:c r="D445" s="65" t="str">
        <x:v>Digital</x:v>
      </x:c>
      <x:c r="E445" s="65" t="str">
        <x:v>Centro-Oeste</x:v>
      </x:c>
      <x:c r="F445" s="65" t="str">
        <x:v>Alfa Industria</x:v>
      </x:c>
      <x:c r="G445" s="65" t="str">
        <x:v>Carla</x:v>
      </x:c>
      <x:c r="H445" s="74" t="n">
        <x:v>20590.57</x:v>
      </x:c>
      <x:c r="I445" s="74" t="n">
        <x:v>391.66</x:v>
      </x:c>
      <x:c r="J445" s="74" t="n">
        <x:v>11539.22</x:v>
      </x:c>
      <x:c r="K445" s="74" t="n">
        <x:v>20198.91</x:v>
      </x:c>
      <x:c r="L445" s="74" t="n">
        <x:v>8659.69</x:v>
      </x:c>
    </x:row>
    <x:row r="446">
      <x:c r="A446" s="65" t="str">
        <x:v>TX-1468</x:v>
      </x:c>
      <x:c r="B446" s="65" t="str">
        <x:v>2026-03-05</x:v>
      </x:c>
      <x:c r="C446" s="65" t="str">
        <x:v>Operacoes</x:v>
      </x:c>
      <x:c r="D446" s="65" t="str">
        <x:v>Direto</x:v>
      </x:c>
      <x:c r="E446" s="65" t="str">
        <x:v>Centro-Oeste</x:v>
      </x:c>
      <x:c r="F446" s="65" t="str">
        <x:v>Beta Logistica</x:v>
      </x:c>
      <x:c r="G446" s="65" t="str">
        <x:v>Diego</x:v>
      </x:c>
      <x:c r="H446" s="74" t="n">
        <x:v>13997.82</x:v>
      </x:c>
      <x:c r="I446" s="74" t="n">
        <x:v>625.53</x:v>
      </x:c>
      <x:c r="J446" s="74" t="n">
        <x:v>8751.4</x:v>
      </x:c>
      <x:c r="K446" s="74" t="n">
        <x:v>13372.289999999999</x:v>
      </x:c>
      <x:c r="L446" s="74" t="n">
        <x:v>4620.889999999999</x:v>
      </x:c>
    </x:row>
    <x:row r="447">
      <x:c r="A447" s="65" t="str">
        <x:v>TX-1438</x:v>
      </x:c>
      <x:c r="B447" s="65" t="str">
        <x:v>2026-03-06</x:v>
      </x:c>
      <x:c r="C447" s="65" t="str">
        <x:v>Tecnologia</x:v>
      </x:c>
      <x:c r="D447" s="65" t="str">
        <x:v>Direto</x:v>
      </x:c>
      <x:c r="E447" s="65" t="str">
        <x:v>Nordeste</x:v>
      </x:c>
      <x:c r="F447" s="65" t="str">
        <x:v>Alfa Industria</x:v>
      </x:c>
      <x:c r="G447" s="65" t="str">
        <x:v>Carla</x:v>
      </x:c>
      <x:c r="H447" s="74" t="n">
        <x:v>24589.31</x:v>
      </x:c>
      <x:c r="I447" s="74" t="n">
        <x:v>959.23</x:v>
      </x:c>
      <x:c r="J447" s="74" t="n">
        <x:v>14802.78</x:v>
      </x:c>
      <x:c r="K447" s="74" t="n">
        <x:v>23630.08</x:v>
      </x:c>
      <x:c r="L447" s="74" t="n">
        <x:v>8827.300000000001</x:v>
      </x:c>
    </x:row>
    <x:row r="448">
      <x:c r="A448" s="65" t="str">
        <x:v>TX-1465</x:v>
      </x:c>
      <x:c r="B448" s="65" t="str">
        <x:v>2026-03-06</x:v>
      </x:c>
      <x:c r="C448" s="65" t="str">
        <x:v>Marketing</x:v>
      </x:c>
      <x:c r="D448" s="65" t="str">
        <x:v>Direto</x:v>
      </x:c>
      <x:c r="E448" s="65" t="str">
        <x:v>Sudeste</x:v>
      </x:c>
      <x:c r="F448" s="65" t="str">
        <x:v>Evo Saude</x:v>
      </x:c>
      <x:c r="G448" s="65" t="str">
        <x:v>Diego</x:v>
      </x:c>
      <x:c r="H448" s="74" t="n">
        <x:v>13025.46</x:v>
      </x:c>
      <x:c r="I448" s="74" t="n">
        <x:v>693.54</x:v>
      </x:c>
      <x:c r="J448" s="74" t="n">
        <x:v>9012.31</x:v>
      </x:c>
      <x:c r="K448" s="74" t="n">
        <x:v>12331.919999999998</x:v>
      </x:c>
      <x:c r="L448" s="74" t="n">
        <x:v>3319.6099999999988</x:v>
      </x:c>
    </x:row>
    <x:row r="449">
      <x:c r="A449" s="65" t="str">
        <x:v>TX-1447</x:v>
      </x:c>
      <x:c r="B449" s="65" t="str">
        <x:v>2026-03-07</x:v>
      </x:c>
      <x:c r="C449" s="65" t="str">
        <x:v>Marketing</x:v>
      </x:c>
      <x:c r="D449" s="65" t="str">
        <x:v>Parceiros</x:v>
      </x:c>
      <x:c r="E449" s="65" t="str">
        <x:v>Sudeste</x:v>
      </x:c>
      <x:c r="F449" s="65" t="str">
        <x:v>Gama Servicos</x:v>
      </x:c>
      <x:c r="G449" s="65" t="str">
        <x:v>Ana</x:v>
      </x:c>
      <x:c r="H449" s="74" t="n">
        <x:v>16540.52</x:v>
      </x:c>
      <x:c r="I449" s="74" t="n">
        <x:v>986.15</x:v>
      </x:c>
      <x:c r="J449" s="74" t="n">
        <x:v>10742.09</x:v>
      </x:c>
      <x:c r="K449" s="74" t="n">
        <x:v>15554.37</x:v>
      </x:c>
      <x:c r="L449" s="74" t="n">
        <x:v>4812.280000000001</x:v>
      </x:c>
    </x:row>
    <x:row r="450">
      <x:c r="A450" s="65" t="str">
        <x:v>TX-1435</x:v>
      </x:c>
      <x:c r="B450" s="65" t="str">
        <x:v>2026-03-07</x:v>
      </x:c>
      <x:c r="C450" s="65" t="str">
        <x:v>Tecnologia</x:v>
      </x:c>
      <x:c r="D450" s="65" t="str">
        <x:v>Parceiros</x:v>
      </x:c>
      <x:c r="E450" s="65" t="str">
        <x:v>Sul</x:v>
      </x:c>
      <x:c r="F450" s="65" t="str">
        <x:v>Gama Servicos</x:v>
      </x:c>
      <x:c r="G450" s="65" t="str">
        <x:v>Bruno</x:v>
      </x:c>
      <x:c r="H450" s="74" t="n">
        <x:v>24134.47</x:v>
      </x:c>
      <x:c r="I450" s="74" t="n">
        <x:v>1570.81</x:v>
      </x:c>
      <x:c r="J450" s="74" t="n">
        <x:v>13726.89</x:v>
      </x:c>
      <x:c r="K450" s="74" t="n">
        <x:v>22563.66</x:v>
      </x:c>
      <x:c r="L450" s="74" t="n">
        <x:v>8836.77</x:v>
      </x:c>
    </x:row>
    <x:row r="451">
      <x:c r="A451" s="65" t="str">
        <x:v>TX-1474</x:v>
      </x:c>
      <x:c r="B451" s="65" t="str">
        <x:v>2026-03-07</x:v>
      </x:c>
      <x:c r="C451" s="65" t="str">
        <x:v>Marketing</x:v>
      </x:c>
      <x:c r="D451" s="65" t="str">
        <x:v>Direto</x:v>
      </x:c>
      <x:c r="E451" s="65" t="str">
        <x:v>Sul</x:v>
      </x:c>
      <x:c r="F451" s="65" t="str">
        <x:v>Delta Varejo</x:v>
      </x:c>
      <x:c r="G451" s="65" t="str">
        <x:v>Diego</x:v>
      </x:c>
      <x:c r="H451" s="74" t="n">
        <x:v>10959.11</x:v>
      </x:c>
      <x:c r="I451" s="74" t="n">
        <x:v>466.69</x:v>
      </x:c>
      <x:c r="J451" s="74" t="n">
        <x:v>7554.04</x:v>
      </x:c>
      <x:c r="K451" s="74" t="n">
        <x:v>10492.42</x:v>
      </x:c>
      <x:c r="L451" s="74" t="n">
        <x:v>2938.38</x:v>
      </x:c>
    </x:row>
    <x:row r="452">
      <x:c r="A452" s="65" t="str">
        <x:v>TX-1475</x:v>
      </x:c>
      <x:c r="B452" s="65" t="str">
        <x:v>2026-03-07</x:v>
      </x:c>
      <x:c r="C452" s="65" t="str">
        <x:v>Comercial</x:v>
      </x:c>
      <x:c r="D452" s="65" t="str">
        <x:v>Digital</x:v>
      </x:c>
      <x:c r="E452" s="65" t="str">
        <x:v>Centro-Oeste</x:v>
      </x:c>
      <x:c r="F452" s="65" t="str">
        <x:v>Crescer Educacao</x:v>
      </x:c>
      <x:c r="G452" s="65" t="str">
        <x:v>Diego</x:v>
      </x:c>
      <x:c r="H452" s="74" t="n">
        <x:v>26819.79</x:v>
      </x:c>
      <x:c r="I452" s="74" t="n">
        <x:v>635.08</x:v>
      </x:c>
      <x:c r="J452" s="74" t="n">
        <x:v>15213.94</x:v>
      </x:c>
      <x:c r="K452" s="74" t="n">
        <x:v>26184.71</x:v>
      </x:c>
      <x:c r="L452" s="74" t="n">
        <x:v>10970.769999999999</x:v>
      </x:c>
    </x:row>
    <x:row r="453">
      <x:c r="A453" s="65" t="str">
        <x:v>TX-1477</x:v>
      </x:c>
      <x:c r="B453" s="65" t="str">
        <x:v>2026-03-07</x:v>
      </x:c>
      <x:c r="C453" s="65" t="str">
        <x:v>Operacoes</x:v>
      </x:c>
      <x:c r="D453" s="65" t="str">
        <x:v>Direto</x:v>
      </x:c>
      <x:c r="E453" s="65" t="str">
        <x:v>Sudeste</x:v>
      </x:c>
      <x:c r="F453" s="65" t="str">
        <x:v>Gama Servicos</x:v>
      </x:c>
      <x:c r="G453" s="65" t="str">
        <x:v>Elisa</x:v>
      </x:c>
      <x:c r="H453" s="74" t="n">
        <x:v>18745.41</x:v>
      </x:c>
      <x:c r="I453" s="74" t="n">
        <x:v>779.64</x:v>
      </x:c>
      <x:c r="J453" s="74" t="n">
        <x:v>12449.84</x:v>
      </x:c>
      <x:c r="K453" s="74" t="n">
        <x:v>17965.77</x:v>
      </x:c>
      <x:c r="L453" s="74" t="n">
        <x:v>5515.93</x:v>
      </x:c>
    </x:row>
    <x:row r="454">
      <x:c r="A454" s="65" t="str">
        <x:v>TX-1457</x:v>
      </x:c>
      <x:c r="B454" s="65" t="str">
        <x:v>2026-03-07</x:v>
      </x:c>
      <x:c r="C454" s="65" t="str">
        <x:v>Comercial</x:v>
      </x:c>
      <x:c r="D454" s="65" t="str">
        <x:v>Parceiros</x:v>
      </x:c>
      <x:c r="E454" s="65" t="str">
        <x:v>Sudeste</x:v>
      </x:c>
      <x:c r="F454" s="65" t="str">
        <x:v>Horizonte Tech</x:v>
      </x:c>
      <x:c r="G454" s="65" t="str">
        <x:v>Diego</x:v>
      </x:c>
      <x:c r="H454" s="74" t="n">
        <x:v>30012.5</x:v>
      </x:c>
      <x:c r="I454" s="74" t="n">
        <x:v>439.52</x:v>
      </x:c>
      <x:c r="J454" s="74" t="n">
        <x:v>17314.8</x:v>
      </x:c>
      <x:c r="K454" s="74" t="n">
        <x:v>29572.98</x:v>
      </x:c>
      <x:c r="L454" s="74" t="n">
        <x:v>12258.18</x:v>
      </x:c>
    </x:row>
    <x:row r="455">
      <x:c r="A455" s="65" t="str">
        <x:v>TX-1469</x:v>
      </x:c>
      <x:c r="B455" s="65" t="str">
        <x:v>2026-03-07</x:v>
      </x:c>
      <x:c r="C455" s="65" t="str">
        <x:v>Tecnologia</x:v>
      </x:c>
      <x:c r="D455" s="65" t="str">
        <x:v>Direto</x:v>
      </x:c>
      <x:c r="E455" s="65" t="str">
        <x:v>Sul</x:v>
      </x:c>
      <x:c r="F455" s="65" t="str">
        <x:v>Alfa Industria</x:v>
      </x:c>
      <x:c r="G455" s="65" t="str">
        <x:v>Carla</x:v>
      </x:c>
      <x:c r="H455" s="74" t="n">
        <x:v>24456.77</x:v>
      </x:c>
      <x:c r="I455" s="74" t="n">
        <x:v>663.1</x:v>
      </x:c>
      <x:c r="J455" s="74" t="n">
        <x:v>14787.2</x:v>
      </x:c>
      <x:c r="K455" s="74" t="n">
        <x:v>23793.670000000002</x:v>
      </x:c>
      <x:c r="L455" s="74" t="n">
        <x:v>9006.470000000001</x:v>
      </x:c>
    </x:row>
    <x:row r="456">
      <x:c r="A456" s="65" t="str">
        <x:v>TX-1473</x:v>
      </x:c>
      <x:c r="B456" s="65" t="str">
        <x:v>2026-03-08</x:v>
      </x:c>
      <x:c r="C456" s="65" t="str">
        <x:v>Comercial</x:v>
      </x:c>
      <x:c r="D456" s="65" t="str">
        <x:v>Parceiros</x:v>
      </x:c>
      <x:c r="E456" s="65" t="str">
        <x:v>Centro-Oeste</x:v>
      </x:c>
      <x:c r="F456" s="65" t="str">
        <x:v>Beta Logistica</x:v>
      </x:c>
      <x:c r="G456" s="65" t="str">
        <x:v>Felipe</x:v>
      </x:c>
      <x:c r="H456" s="74" t="n">
        <x:v>21626.35</x:v>
      </x:c>
      <x:c r="I456" s="74" t="n">
        <x:v>1044.05</x:v>
      </x:c>
      <x:c r="J456" s="74" t="n">
        <x:v>11331.26</x:v>
      </x:c>
      <x:c r="K456" s="74" t="n">
        <x:v>20582.3</x:v>
      </x:c>
      <x:c r="L456" s="74" t="n">
        <x:v>9251.039999999999</x:v>
      </x:c>
    </x:row>
    <x:row r="457">
      <x:c r="A457" s="65" t="str">
        <x:v>TX-1472</x:v>
      </x:c>
      <x:c r="B457" s="65" t="str">
        <x:v>2026-03-08</x:v>
      </x:c>
      <x:c r="C457" s="65" t="str">
        <x:v>Comercial</x:v>
      </x:c>
      <x:c r="D457" s="65" t="str">
        <x:v>Digital</x:v>
      </x:c>
      <x:c r="E457" s="65" t="str">
        <x:v>Centro-Oeste</x:v>
      </x:c>
      <x:c r="F457" s="65" t="str">
        <x:v>Gama Servicos</x:v>
      </x:c>
      <x:c r="G457" s="65" t="str">
        <x:v>Diego</x:v>
      </x:c>
      <x:c r="H457" s="74" t="n">
        <x:v>26834.6</x:v>
      </x:c>
      <x:c r="I457" s="74" t="n">
        <x:v>482.31</x:v>
      </x:c>
      <x:c r="J457" s="74" t="n">
        <x:v>14990</x:v>
      </x:c>
      <x:c r="K457" s="74" t="n">
        <x:v>26352.289999999997</x:v>
      </x:c>
      <x:c r="L457" s="74" t="n">
        <x:v>11362.289999999997</x:v>
      </x:c>
    </x:row>
    <x:row r="458">
      <x:c r="A458" s="65" t="str">
        <x:v>TX-1470</x:v>
      </x:c>
      <x:c r="B458" s="65" t="str">
        <x:v>2026-03-08</x:v>
      </x:c>
      <x:c r="C458" s="65" t="str">
        <x:v>Tecnologia</x:v>
      </x:c>
      <x:c r="D458" s="65" t="str">
        <x:v>Direto</x:v>
      </x:c>
      <x:c r="E458" s="65" t="str">
        <x:v>Nordeste</x:v>
      </x:c>
      <x:c r="F458" s="65" t="str">
        <x:v>Horizonte Tech</x:v>
      </x:c>
      <x:c r="G458" s="65" t="str">
        <x:v>Ana</x:v>
      </x:c>
      <x:c r="H458" s="74" t="n">
        <x:v>17423.8</x:v>
      </x:c>
      <x:c r="I458" s="74" t="n">
        <x:v>1066.58</x:v>
      </x:c>
      <x:c r="J458" s="74" t="n">
        <x:v>9806.38</x:v>
      </x:c>
      <x:c r="K458" s="74" t="n">
        <x:v>16357.22</x:v>
      </x:c>
      <x:c r="L458" s="74" t="n">
        <x:v>6550.84</x:v>
      </x:c>
    </x:row>
    <x:row r="459">
      <x:c r="A459" s="65" t="str">
        <x:v>TX-1453</x:v>
      </x:c>
      <x:c r="B459" s="65" t="str">
        <x:v>2026-03-09</x:v>
      </x:c>
      <x:c r="C459" s="65" t="str">
        <x:v>Comercial</x:v>
      </x:c>
      <x:c r="D459" s="65" t="str">
        <x:v>Direto</x:v>
      </x:c>
      <x:c r="E459" s="65" t="str">
        <x:v>Centro-Oeste</x:v>
      </x:c>
      <x:c r="F459" s="65" t="str">
        <x:v>Foco Energia</x:v>
      </x:c>
      <x:c r="G459" s="65" t="str">
        <x:v>Felipe</x:v>
      </x:c>
      <x:c r="H459" s="74" t="n">
        <x:v>23666.74</x:v>
      </x:c>
      <x:c r="I459" s="74" t="n">
        <x:v>647.43</x:v>
      </x:c>
      <x:c r="J459" s="74" t="n">
        <x:v>13258.1</x:v>
      </x:c>
      <x:c r="K459" s="74" t="n">
        <x:v>23019.31</x:v>
      </x:c>
      <x:c r="L459" s="74" t="n">
        <x:v>9761.210000000001</x:v>
      </x:c>
    </x:row>
    <x:row r="460">
      <x:c r="A460" s="65" t="str">
        <x:v>TX-1434</x:v>
      </x:c>
      <x:c r="B460" s="65" t="str">
        <x:v>2026-03-09</x:v>
      </x:c>
      <x:c r="C460" s="65" t="str">
        <x:v>Tecnologia</x:v>
      </x:c>
      <x:c r="D460" s="65" t="str">
        <x:v>Parceiros</x:v>
      </x:c>
      <x:c r="E460" s="65" t="str">
        <x:v>Centro-Oeste</x:v>
      </x:c>
      <x:c r="F460" s="65" t="str">
        <x:v>Foco Energia</x:v>
      </x:c>
      <x:c r="G460" s="65" t="str">
        <x:v>Carla</x:v>
      </x:c>
      <x:c r="H460" s="74" t="n">
        <x:v>24947.6</x:v>
      </x:c>
      <x:c r="I460" s="74" t="n">
        <x:v>1692.66</x:v>
      </x:c>
      <x:c r="J460" s="74" t="n">
        <x:v>14082.78</x:v>
      </x:c>
      <x:c r="K460" s="74" t="n">
        <x:v>23254.94</x:v>
      </x:c>
      <x:c r="L460" s="74" t="n">
        <x:v>9172.159999999998</x:v>
      </x:c>
    </x:row>
    <x:row r="461">
      <x:c r="A461" s="65" t="str">
        <x:v>TX-1454</x:v>
      </x:c>
      <x:c r="B461" s="65" t="str">
        <x:v>2026-03-09</x:v>
      </x:c>
      <x:c r="C461" s="65" t="str">
        <x:v>Comercial</x:v>
      </x:c>
      <x:c r="D461" s="65" t="str">
        <x:v>Direto</x:v>
      </x:c>
      <x:c r="E461" s="65" t="str">
        <x:v>Centro-Oeste</x:v>
      </x:c>
      <x:c r="F461" s="65" t="str">
        <x:v>Crescer Educacao</x:v>
      </x:c>
      <x:c r="G461" s="65" t="str">
        <x:v>Ana</x:v>
      </x:c>
      <x:c r="H461" s="74" t="n">
        <x:v>27743.6</x:v>
      </x:c>
      <x:c r="I461" s="74" t="n">
        <x:v>776.84</x:v>
      </x:c>
      <x:c r="J461" s="74" t="n">
        <x:v>15683.06</x:v>
      </x:c>
      <x:c r="K461" s="74" t="n">
        <x:v>26966.76</x:v>
      </x:c>
      <x:c r="L461" s="74" t="n">
        <x:v>11283.699999999999</x:v>
      </x:c>
    </x:row>
    <x:row r="462">
      <x:c r="A462" s="65" t="str">
        <x:v>TX-1466</x:v>
      </x:c>
      <x:c r="B462" s="65" t="str">
        <x:v>2026-03-10</x:v>
      </x:c>
      <x:c r="C462" s="65" t="str">
        <x:v>Tecnologia</x:v>
      </x:c>
      <x:c r="D462" s="65" t="str">
        <x:v>Digital</x:v>
      </x:c>
      <x:c r="E462" s="65" t="str">
        <x:v>Sudeste</x:v>
      </x:c>
      <x:c r="F462" s="65" t="str">
        <x:v>Horizonte Tech</x:v>
      </x:c>
      <x:c r="G462" s="65" t="str">
        <x:v>Bruno</x:v>
      </x:c>
      <x:c r="H462" s="74" t="n">
        <x:v>19802.69</x:v>
      </x:c>
      <x:c r="I462" s="74" t="n">
        <x:v>1258.08</x:v>
      </x:c>
      <x:c r="J462" s="74" t="n">
        <x:v>11350.23</x:v>
      </x:c>
      <x:c r="K462" s="74" t="n">
        <x:v>18544.61</x:v>
      </x:c>
      <x:c r="L462" s="74" t="n">
        <x:v>7194.380000000001</x:v>
      </x:c>
    </x:row>
    <x:row r="463">
      <x:c r="A463" s="65" t="str">
        <x:v>TX-1437</x:v>
      </x:c>
      <x:c r="B463" s="65" t="str">
        <x:v>2026-03-10</x:v>
      </x:c>
      <x:c r="C463" s="65" t="str">
        <x:v>Tecnologia</x:v>
      </x:c>
      <x:c r="D463" s="65" t="str">
        <x:v>Direto</x:v>
      </x:c>
      <x:c r="E463" s="65" t="str">
        <x:v>Centro-Oeste</x:v>
      </x:c>
      <x:c r="F463" s="65" t="str">
        <x:v>Delta Varejo</x:v>
      </x:c>
      <x:c r="G463" s="65" t="str">
        <x:v>Diego</x:v>
      </x:c>
      <x:c r="H463" s="74" t="n">
        <x:v>20313.96</x:v>
      </x:c>
      <x:c r="I463" s="74" t="n">
        <x:v>659.36</x:v>
      </x:c>
      <x:c r="J463" s="74" t="n">
        <x:v>12239.18</x:v>
      </x:c>
      <x:c r="K463" s="74" t="n">
        <x:v>19654.6</x:v>
      </x:c>
      <x:c r="L463" s="74" t="n">
        <x:v>7415.419999999998</x:v>
      </x:c>
    </x:row>
    <x:row r="464">
      <x:c r="A464" s="65" t="str">
        <x:v>TX-1464</x:v>
      </x:c>
      <x:c r="B464" s="65" t="str">
        <x:v>2026-03-10</x:v>
      </x:c>
      <x:c r="C464" s="65" t="str">
        <x:v>Marketing</x:v>
      </x:c>
      <x:c r="D464" s="65" t="str">
        <x:v>Direto</x:v>
      </x:c>
      <x:c r="E464" s="65" t="str">
        <x:v>Sul</x:v>
      </x:c>
      <x:c r="F464" s="65" t="str">
        <x:v>Crescer Educacao</x:v>
      </x:c>
      <x:c r="G464" s="65" t="str">
        <x:v>Carla</x:v>
      </x:c>
      <x:c r="H464" s="74" t="n">
        <x:v>10793.06</x:v>
      </x:c>
      <x:c r="I464" s="74" t="n">
        <x:v>393.51</x:v>
      </x:c>
      <x:c r="J464" s="74" t="n">
        <x:v>7512.52</x:v>
      </x:c>
      <x:c r="K464" s="74" t="n">
        <x:v>10399.55</x:v>
      </x:c>
      <x:c r="L464" s="74" t="n">
        <x:v>2887.029999999999</x:v>
      </x:c>
    </x:row>
    <x:row r="465">
      <x:c r="A465" s="65" t="str">
        <x:v>TX-1442</x:v>
      </x:c>
      <x:c r="B465" s="65" t="str">
        <x:v>2026-03-10</x:v>
      </x:c>
      <x:c r="C465" s="65" t="str">
        <x:v>Tecnologia</x:v>
      </x:c>
      <x:c r="D465" s="65" t="str">
        <x:v>Direto</x:v>
      </x:c>
      <x:c r="E465" s="65" t="str">
        <x:v>Nordeste</x:v>
      </x:c>
      <x:c r="F465" s="65" t="str">
        <x:v>Beta Logistica</x:v>
      </x:c>
      <x:c r="G465" s="65" t="str">
        <x:v>Bruno</x:v>
      </x:c>
      <x:c r="H465" s="74" t="n">
        <x:v>16167.21</x:v>
      </x:c>
      <x:c r="I465" s="74" t="n">
        <x:v>189.09</x:v>
      </x:c>
      <x:c r="J465" s="74" t="n">
        <x:v>9636.41</x:v>
      </x:c>
      <x:c r="K465" s="74" t="n">
        <x:v>15978.119999999999</x:v>
      </x:c>
      <x:c r="L465" s="74" t="n">
        <x:v>6341.709999999999</x:v>
      </x:c>
    </x:row>
    <x:row r="466">
      <x:c r="A466" s="65" t="str">
        <x:v>TX-1460</x:v>
      </x:c>
      <x:c r="B466" s="65" t="str">
        <x:v>2026-03-10</x:v>
      </x:c>
      <x:c r="C466" s="65" t="str">
        <x:v>Tecnologia</x:v>
      </x:c>
      <x:c r="D466" s="65" t="str">
        <x:v>Digital</x:v>
      </x:c>
      <x:c r="E466" s="65" t="str">
        <x:v>Nordeste</x:v>
      </x:c>
      <x:c r="F466" s="65" t="str">
        <x:v>Evo Saude</x:v>
      </x:c>
      <x:c r="G466" s="65" t="str">
        <x:v>Diego</x:v>
      </x:c>
      <x:c r="H466" s="74" t="n">
        <x:v>11611.77</x:v>
      </x:c>
      <x:c r="I466" s="74" t="n">
        <x:v>722.22</x:v>
      </x:c>
      <x:c r="J466" s="74" t="n">
        <x:v>6364.5</x:v>
      </x:c>
      <x:c r="K466" s="74" t="n">
        <x:v>10889.550000000001</x:v>
      </x:c>
      <x:c r="L466" s="74" t="n">
        <x:v>4525.050000000001</x:v>
      </x:c>
    </x:row>
    <x:row r="467">
      <x:c r="A467" s="65" t="str">
        <x:v>TX-1463</x:v>
      </x:c>
      <x:c r="B467" s="65" t="str">
        <x:v>2026-03-10</x:v>
      </x:c>
      <x:c r="C467" s="65" t="str">
        <x:v>Operacoes</x:v>
      </x:c>
      <x:c r="D467" s="65" t="str">
        <x:v>Parceiros</x:v>
      </x:c>
      <x:c r="E467" s="65" t="str">
        <x:v>Sudeste</x:v>
      </x:c>
      <x:c r="F467" s="65" t="str">
        <x:v>Delta Varejo</x:v>
      </x:c>
      <x:c r="G467" s="65" t="str">
        <x:v>Bruno</x:v>
      </x:c>
      <x:c r="H467" s="74" t="n">
        <x:v>10931.96</x:v>
      </x:c>
      <x:c r="I467" s="74" t="n">
        <x:v>546.06</x:v>
      </x:c>
      <x:c r="J467" s="74" t="n">
        <x:v>7028.34</x:v>
      </x:c>
      <x:c r="K467" s="74" t="n">
        <x:v>10385.9</x:v>
      </x:c>
      <x:c r="L467" s="74" t="n">
        <x:v>3357.5599999999995</x:v>
      </x:c>
    </x:row>
    <x:row r="468">
      <x:c r="A468" s="65" t="str">
        <x:v>TX-1448</x:v>
      </x:c>
      <x:c r="B468" s="65" t="str">
        <x:v>2026-03-11</x:v>
      </x:c>
      <x:c r="C468" s="65" t="str">
        <x:v>Operacoes</x:v>
      </x:c>
      <x:c r="D468" s="65" t="str">
        <x:v>Parceiros</x:v>
      </x:c>
      <x:c r="E468" s="65" t="str">
        <x:v>Sul</x:v>
      </x:c>
      <x:c r="F468" s="65" t="str">
        <x:v>Crescer Educacao</x:v>
      </x:c>
      <x:c r="G468" s="65" t="str">
        <x:v>Carla</x:v>
      </x:c>
      <x:c r="H468" s="74" t="n">
        <x:v>15637.8</x:v>
      </x:c>
      <x:c r="I468" s="74" t="n">
        <x:v>801.99</x:v>
      </x:c>
      <x:c r="J468" s="74" t="n">
        <x:v>10001.98</x:v>
      </x:c>
      <x:c r="K468" s="74" t="n">
        <x:v>14835.81</x:v>
      </x:c>
      <x:c r="L468" s="74" t="n">
        <x:v>4833.83</x:v>
      </x:c>
    </x:row>
    <x:row r="469">
      <x:c r="A469" s="65" t="str">
        <x:v>TX-1444</x:v>
      </x:c>
      <x:c r="B469" s="65" t="str">
        <x:v>2026-03-11</x:v>
      </x:c>
      <x:c r="C469" s="65" t="str">
        <x:v>Comercial</x:v>
      </x:c>
      <x:c r="D469" s="65" t="str">
        <x:v>Digital</x:v>
      </x:c>
      <x:c r="E469" s="65" t="str">
        <x:v>Sul</x:v>
      </x:c>
      <x:c r="F469" s="65" t="str">
        <x:v>Beta Logistica</x:v>
      </x:c>
      <x:c r="G469" s="65" t="str">
        <x:v>Carla</x:v>
      </x:c>
      <x:c r="H469" s="74" t="n">
        <x:v>20240.38</x:v>
      </x:c>
      <x:c r="I469" s="74" t="n">
        <x:v>797.59</x:v>
      </x:c>
      <x:c r="J469" s="74" t="n">
        <x:v>10940.23</x:v>
      </x:c>
      <x:c r="K469" s="74" t="n">
        <x:v>19442.79</x:v>
      </x:c>
      <x:c r="L469" s="74" t="n">
        <x:v>8502.560000000001</x:v>
      </x:c>
    </x:row>
    <x:row r="470">
      <x:c r="A470" s="65" t="str">
        <x:v>TX-1441</x:v>
      </x:c>
      <x:c r="B470" s="65" t="str">
        <x:v>2026-03-11</x:v>
      </x:c>
      <x:c r="C470" s="65" t="str">
        <x:v>Tecnologia</x:v>
      </x:c>
      <x:c r="D470" s="65" t="str">
        <x:v>Direto</x:v>
      </x:c>
      <x:c r="E470" s="65" t="str">
        <x:v>Nordeste</x:v>
      </x:c>
      <x:c r="F470" s="65" t="str">
        <x:v>Crescer Educacao</x:v>
      </x:c>
      <x:c r="G470" s="65" t="str">
        <x:v>Bruno</x:v>
      </x:c>
      <x:c r="H470" s="74" t="n">
        <x:v>22049.39</x:v>
      </x:c>
      <x:c r="I470" s="74" t="n">
        <x:v>470.33</x:v>
      </x:c>
      <x:c r="J470" s="74" t="n">
        <x:v>14167.98</x:v>
      </x:c>
      <x:c r="K470" s="74" t="n">
        <x:v>21579.059999999998</x:v>
      </x:c>
      <x:c r="L470" s="74" t="n">
        <x:v>7411.079999999998</x:v>
      </x:c>
    </x:row>
    <x:row r="471">
      <x:c r="A471" s="65" t="str">
        <x:v>TX-1439</x:v>
      </x:c>
      <x:c r="B471" s="65" t="str">
        <x:v>2026-03-11</x:v>
      </x:c>
      <x:c r="C471" s="65" t="str">
        <x:v>Comercial</x:v>
      </x:c>
      <x:c r="D471" s="65" t="str">
        <x:v>Direto</x:v>
      </x:c>
      <x:c r="E471" s="65" t="str">
        <x:v>Sudeste</x:v>
      </x:c>
      <x:c r="F471" s="65" t="str">
        <x:v>Gama Servicos</x:v>
      </x:c>
      <x:c r="G471" s="65" t="str">
        <x:v>Diego</x:v>
      </x:c>
      <x:c r="H471" s="74" t="n">
        <x:v>27346.26</x:v>
      </x:c>
      <x:c r="I471" s="74" t="n">
        <x:v>1339.57</x:v>
      </x:c>
      <x:c r="J471" s="74" t="n">
        <x:v>15119.98</x:v>
      </x:c>
      <x:c r="K471" s="74" t="n">
        <x:v>26006.69</x:v>
      </x:c>
      <x:c r="L471" s="74" t="n">
        <x:v>10886.71</x:v>
      </x:c>
    </x:row>
    <x:row r="472">
      <x:c r="A472" s="65" t="str">
        <x:v>TX-1467</x:v>
      </x:c>
      <x:c r="B472" s="65" t="str">
        <x:v>2026-03-12</x:v>
      </x:c>
      <x:c r="C472" s="65" t="str">
        <x:v>Operacoes</x:v>
      </x:c>
      <x:c r="D472" s="65" t="str">
        <x:v>Parceiros</x:v>
      </x:c>
      <x:c r="E472" s="65" t="str">
        <x:v>Sudeste</x:v>
      </x:c>
      <x:c r="F472" s="65" t="str">
        <x:v>Gama Servicos</x:v>
      </x:c>
      <x:c r="G472" s="65" t="str">
        <x:v>Diego</x:v>
      </x:c>
      <x:c r="H472" s="74" t="n">
        <x:v>16700.62</x:v>
      </x:c>
      <x:c r="I472" s="74" t="n">
        <x:v>457.72</x:v>
      </x:c>
      <x:c r="J472" s="74" t="n">
        <x:v>11244.04</x:v>
      </x:c>
      <x:c r="K472" s="74" t="n">
        <x:v>16242.9</x:v>
      </x:c>
      <x:c r="L472" s="74" t="n">
        <x:v>4998.859999999999</x:v>
      </x:c>
    </x:row>
    <x:row r="473">
      <x:c r="A473" s="65" t="str">
        <x:v>TX-1452</x:v>
      </x:c>
      <x:c r="B473" s="65" t="str">
        <x:v>2026-03-12</x:v>
      </x:c>
      <x:c r="C473" s="65" t="str">
        <x:v>Marketing</x:v>
      </x:c>
      <x:c r="D473" s="65" t="str">
        <x:v>Digital</x:v>
      </x:c>
      <x:c r="E473" s="65" t="str">
        <x:v>Centro-Oeste</x:v>
      </x:c>
      <x:c r="F473" s="65" t="str">
        <x:v>Evo Saude</x:v>
      </x:c>
      <x:c r="G473" s="65" t="str">
        <x:v>Bruno</x:v>
      </x:c>
      <x:c r="H473" s="74" t="n">
        <x:v>16768.77</x:v>
      </x:c>
      <x:c r="I473" s="74" t="n">
        <x:v>1079.38</x:v>
      </x:c>
      <x:c r="J473" s="74" t="n">
        <x:v>11397.69</x:v>
      </x:c>
      <x:c r="K473" s="74" t="n">
        <x:v>15689.39</x:v>
      </x:c>
      <x:c r="L473" s="74" t="n">
        <x:v>4291.699999999999</x:v>
      </x:c>
    </x:row>
    <x:row r="474">
      <x:c r="A474" s="65" t="str">
        <x:v>TX-1480</x:v>
      </x:c>
      <x:c r="B474" s="65" t="str">
        <x:v>2026-03-13</x:v>
      </x:c>
      <x:c r="C474" s="65" t="str">
        <x:v>Marketing</x:v>
      </x:c>
      <x:c r="D474" s="65" t="str">
        <x:v>Digital</x:v>
      </x:c>
      <x:c r="E474" s="65" t="str">
        <x:v>Nordeste</x:v>
      </x:c>
      <x:c r="F474" s="65" t="str">
        <x:v>Gama Servicos</x:v>
      </x:c>
      <x:c r="G474" s="65" t="str">
        <x:v>Diego</x:v>
      </x:c>
      <x:c r="H474" s="74" t="n">
        <x:v>13062.58</x:v>
      </x:c>
      <x:c r="I474" s="74" t="n">
        <x:v>169.91</x:v>
      </x:c>
      <x:c r="J474" s="74" t="n">
        <x:v>9031.81</x:v>
      </x:c>
      <x:c r="K474" s="74" t="n">
        <x:v>12892.67</x:v>
      </x:c>
      <x:c r="L474" s="74" t="n">
        <x:v>3860.8600000000006</x:v>
      </x:c>
    </x:row>
    <x:row r="475">
      <x:c r="A475" s="65" t="str">
        <x:v>TX-1462</x:v>
      </x:c>
      <x:c r="B475" s="65" t="str">
        <x:v>2026-03-15</x:v>
      </x:c>
      <x:c r="C475" s="65" t="str">
        <x:v>Comercial</x:v>
      </x:c>
      <x:c r="D475" s="65" t="str">
        <x:v>Direto</x:v>
      </x:c>
      <x:c r="E475" s="65" t="str">
        <x:v>Sul</x:v>
      </x:c>
      <x:c r="F475" s="65" t="str">
        <x:v>Beta Logistica</x:v>
      </x:c>
      <x:c r="G475" s="65" t="str">
        <x:v>Carla</x:v>
      </x:c>
      <x:c r="H475" s="74" t="n">
        <x:v>26782.91</x:v>
      </x:c>
      <x:c r="I475" s="74" t="n">
        <x:v>2045.42</x:v>
      </x:c>
      <x:c r="J475" s="74" t="n">
        <x:v>14576.37</x:v>
      </x:c>
      <x:c r="K475" s="74" t="n">
        <x:v>24737.489999999998</x:v>
      </x:c>
      <x:c r="L475" s="74" t="n">
        <x:v>10161.119999999997</x:v>
      </x:c>
    </x:row>
    <x:row r="476">
      <x:c r="A476" s="65" t="str">
        <x:v>TX-1459</x:v>
      </x:c>
      <x:c r="B476" s="65" t="str">
        <x:v>2026-03-15</x:v>
      </x:c>
      <x:c r="C476" s="65" t="str">
        <x:v>Tecnologia</x:v>
      </x:c>
      <x:c r="D476" s="65" t="str">
        <x:v>Digital</x:v>
      </x:c>
      <x:c r="E476" s="65" t="str">
        <x:v>Sudeste</x:v>
      </x:c>
      <x:c r="F476" s="65" t="str">
        <x:v>Evo Saude</x:v>
      </x:c>
      <x:c r="G476" s="65" t="str">
        <x:v>Elisa</x:v>
      </x:c>
      <x:c r="H476" s="74" t="n">
        <x:v>20837.77</x:v>
      </x:c>
      <x:c r="I476" s="74" t="n">
        <x:v>514.82</x:v>
      </x:c>
      <x:c r="J476" s="74" t="n">
        <x:v>12158.37</x:v>
      </x:c>
      <x:c r="K476" s="74" t="n">
        <x:v>20322.95</x:v>
      </x:c>
      <x:c r="L476" s="74" t="n">
        <x:v>8164.58</x:v>
      </x:c>
    </x:row>
    <x:row r="477">
      <x:c r="A477" s="65" t="str">
        <x:v>TX-1455</x:v>
      </x:c>
      <x:c r="B477" s="65" t="str">
        <x:v>2026-03-15</x:v>
      </x:c>
      <x:c r="C477" s="65" t="str">
        <x:v>Comercial</x:v>
      </x:c>
      <x:c r="D477" s="65" t="str">
        <x:v>Direto</x:v>
      </x:c>
      <x:c r="E477" s="65" t="str">
        <x:v>Centro-Oeste</x:v>
      </x:c>
      <x:c r="F477" s="65" t="str">
        <x:v>Horizonte Tech</x:v>
      </x:c>
      <x:c r="G477" s="65" t="str">
        <x:v>Diego</x:v>
      </x:c>
      <x:c r="H477" s="74" t="n">
        <x:v>21983.03</x:v>
      </x:c>
      <x:c r="I477" s="74" t="n">
        <x:v>1221.31</x:v>
      </x:c>
      <x:c r="J477" s="74" t="n">
        <x:v>11605.19</x:v>
      </x:c>
      <x:c r="K477" s="74" t="n">
        <x:v>20761.719999999998</x:v>
      </x:c>
      <x:c r="L477" s="74" t="n">
        <x:v>9156.529999999997</x:v>
      </x:c>
    </x:row>
    <x:row r="478">
      <x:c r="A478" s="65" t="str">
        <x:v>TX-1456</x:v>
      </x:c>
      <x:c r="B478" s="65" t="str">
        <x:v>2026-03-16</x:v>
      </x:c>
      <x:c r="C478" s="65" t="str">
        <x:v>Operacoes</x:v>
      </x:c>
      <x:c r="D478" s="65" t="str">
        <x:v>Digital</x:v>
      </x:c>
      <x:c r="E478" s="65" t="str">
        <x:v>Sudeste</x:v>
      </x:c>
      <x:c r="F478" s="65" t="str">
        <x:v>Evo Saude</x:v>
      </x:c>
      <x:c r="G478" s="65" t="str">
        <x:v>Elisa</x:v>
      </x:c>
      <x:c r="H478" s="74" t="n">
        <x:v>21085.73</x:v>
      </x:c>
      <x:c r="I478" s="74" t="n">
        <x:v>1258.82</x:v>
      </x:c>
      <x:c r="J478" s="74" t="n">
        <x:v>12744.78</x:v>
      </x:c>
      <x:c r="K478" s="74" t="n">
        <x:v>19826.91</x:v>
      </x:c>
      <x:c r="L478" s="74" t="n">
        <x:v>7082.129999999999</x:v>
      </x:c>
    </x:row>
    <x:row r="479">
      <x:c r="A479" s="65" t="str">
        <x:v>TX-1432</x:v>
      </x:c>
      <x:c r="B479" s="65" t="str">
        <x:v>2026-03-16</x:v>
      </x:c>
      <x:c r="C479" s="65" t="str">
        <x:v>Tecnologia</x:v>
      </x:c>
      <x:c r="D479" s="65" t="str">
        <x:v>Direto</x:v>
      </x:c>
      <x:c r="E479" s="65" t="str">
        <x:v>Centro-Oeste</x:v>
      </x:c>
      <x:c r="F479" s="65" t="str">
        <x:v>Horizonte Tech</x:v>
      </x:c>
      <x:c r="G479" s="65" t="str">
        <x:v>Felipe</x:v>
      </x:c>
      <x:c r="H479" s="74" t="n">
        <x:v>24449.29</x:v>
      </x:c>
      <x:c r="I479" s="74" t="n">
        <x:v>737.06</x:v>
      </x:c>
      <x:c r="J479" s="74" t="n">
        <x:v>14256.89</x:v>
      </x:c>
      <x:c r="K479" s="74" t="n">
        <x:v>23712.23</x:v>
      </x:c>
      <x:c r="L479" s="74" t="n">
        <x:v>9455.34</x:v>
      </x:c>
    </x:row>
    <x:row r="480">
      <x:c r="A480" s="65" t="str">
        <x:v>TX-1449</x:v>
      </x:c>
      <x:c r="B480" s="65" t="str">
        <x:v>2026-03-18</x:v>
      </x:c>
      <x:c r="C480" s="65" t="str">
        <x:v>Tecnologia</x:v>
      </x:c>
      <x:c r="D480" s="65" t="str">
        <x:v>Digital</x:v>
      </x:c>
      <x:c r="E480" s="65" t="str">
        <x:v>Nordeste</x:v>
      </x:c>
      <x:c r="F480" s="65" t="str">
        <x:v>Gama Servicos</x:v>
      </x:c>
      <x:c r="G480" s="65" t="str">
        <x:v>Carla</x:v>
      </x:c>
      <x:c r="H480" s="74" t="n">
        <x:v>23960.53</x:v>
      </x:c>
      <x:c r="I480" s="74" t="n">
        <x:v>1184.12</x:v>
      </x:c>
      <x:c r="J480" s="74" t="n">
        <x:v>14084.6</x:v>
      </x:c>
      <x:c r="K480" s="74" t="n">
        <x:v>22776.41</x:v>
      </x:c>
      <x:c r="L480" s="74" t="n">
        <x:v>8691.81</x:v>
      </x:c>
    </x:row>
    <x:row r="481">
      <x:c r="A481" s="65" t="str">
        <x:v>TX-1485</x:v>
      </x:c>
      <x:c r="B481" s="65" t="str">
        <x:v>2026-03-18</x:v>
      </x:c>
      <x:c r="C481" s="65" t="str">
        <x:v>Operacoes</x:v>
      </x:c>
      <x:c r="D481" s="65" t="str">
        <x:v>Parceiros</x:v>
      </x:c>
      <x:c r="E481" s="65" t="str">
        <x:v>Sudeste</x:v>
      </x:c>
      <x:c r="F481" s="65" t="str">
        <x:v>Gama Servicos</x:v>
      </x:c>
      <x:c r="G481" s="65" t="str">
        <x:v>Diego</x:v>
      </x:c>
      <x:c r="H481" s="74" t="n">
        <x:v>16491.77</x:v>
      </x:c>
      <x:c r="I481" s="74" t="n">
        <x:v>275.96</x:v>
      </x:c>
      <x:c r="J481" s="74" t="n">
        <x:v>11506.8</x:v>
      </x:c>
      <x:c r="K481" s="74" t="n">
        <x:v>16215.810000000001</x:v>
      </x:c>
      <x:c r="L481" s="74" t="n">
        <x:v>4709.010000000002</x:v>
      </x:c>
    </x:row>
    <x:row r="482">
      <x:c r="A482" s="65" t="str">
        <x:v>TX-1478</x:v>
      </x:c>
      <x:c r="B482" s="65" t="str">
        <x:v>2026-03-21</x:v>
      </x:c>
      <x:c r="C482" s="65" t="str">
        <x:v>Comercial</x:v>
      </x:c>
      <x:c r="D482" s="65" t="str">
        <x:v>Direto</x:v>
      </x:c>
      <x:c r="E482" s="65" t="str">
        <x:v>Centro-Oeste</x:v>
      </x:c>
      <x:c r="F482" s="65" t="str">
        <x:v>Delta Varejo</x:v>
      </x:c>
      <x:c r="G482" s="65" t="str">
        <x:v>Ana</x:v>
      </x:c>
      <x:c r="H482" s="74" t="n">
        <x:v>22604.65</x:v>
      </x:c>
      <x:c r="I482" s="74" t="n">
        <x:v>482.67</x:v>
      </x:c>
      <x:c r="J482" s="74" t="n">
        <x:v>12099.15</x:v>
      </x:c>
      <x:c r="K482" s="74" t="n">
        <x:v>22121.980000000003</x:v>
      </x:c>
      <x:c r="L482" s="74" t="n">
        <x:v>10022.830000000004</x:v>
      </x:c>
    </x:row>
    <x:row r="483">
      <x:c r="A483" s="65" t="str">
        <x:v>TX-1451</x:v>
      </x:c>
      <x:c r="B483" s="65" t="str">
        <x:v>2026-03-21</x:v>
      </x:c>
      <x:c r="C483" s="65" t="str">
        <x:v>Comercial</x:v>
      </x:c>
      <x:c r="D483" s="65" t="str">
        <x:v>Parceiros</x:v>
      </x:c>
      <x:c r="E483" s="65" t="str">
        <x:v>Centro-Oeste</x:v>
      </x:c>
      <x:c r="F483" s="65" t="str">
        <x:v>Alfa Industria</x:v>
      </x:c>
      <x:c r="G483" s="65" t="str">
        <x:v>Felipe</x:v>
      </x:c>
      <x:c r="H483" s="74" t="n">
        <x:v>25530.35</x:v>
      </x:c>
      <x:c r="I483" s="74" t="n">
        <x:v>1002.82</x:v>
      </x:c>
      <x:c r="J483" s="74" t="n">
        <x:v>13187.35</x:v>
      </x:c>
      <x:c r="K483" s="74" t="n">
        <x:v>24527.53</x:v>
      </x:c>
      <x:c r="L483" s="74" t="n">
        <x:v>11340.179999999998</x:v>
      </x:c>
    </x:row>
    <x:row r="484">
      <x:c r="A484" s="65" t="str">
        <x:v>TX-1471</x:v>
      </x:c>
      <x:c r="B484" s="65" t="str">
        <x:v>2026-03-21</x:v>
      </x:c>
      <x:c r="C484" s="65" t="str">
        <x:v>Operacoes</x:v>
      </x:c>
      <x:c r="D484" s="65" t="str">
        <x:v>Direto</x:v>
      </x:c>
      <x:c r="E484" s="65" t="str">
        <x:v>Nordeste</x:v>
      </x:c>
      <x:c r="F484" s="65" t="str">
        <x:v>Alfa Industria</x:v>
      </x:c>
      <x:c r="G484" s="65" t="str">
        <x:v>Diego</x:v>
      </x:c>
      <x:c r="H484" s="74" t="n">
        <x:v>13137.24</x:v>
      </x:c>
      <x:c r="I484" s="74" t="n">
        <x:v>965.28</x:v>
      </x:c>
      <x:c r="J484" s="74" t="n">
        <x:v>8539.4</x:v>
      </x:c>
      <x:c r="K484" s="74" t="n">
        <x:v>12171.96</x:v>
      </x:c>
      <x:c r="L484" s="74" t="n">
        <x:v>3632.5599999999995</x:v>
      </x:c>
    </x:row>
    <x:row r="485">
      <x:c r="A485" s="65" t="str">
        <x:v>TX-1440</x:v>
      </x:c>
      <x:c r="B485" s="65" t="str">
        <x:v>2026-03-23</x:v>
      </x:c>
      <x:c r="C485" s="65" t="str">
        <x:v>Tecnologia</x:v>
      </x:c>
      <x:c r="D485" s="65" t="str">
        <x:v>Direto</x:v>
      </x:c>
      <x:c r="E485" s="65" t="str">
        <x:v>Sudeste</x:v>
      </x:c>
      <x:c r="F485" s="65" t="str">
        <x:v>Crescer Educacao</x:v>
      </x:c>
      <x:c r="G485" s="65" t="str">
        <x:v>Ana</x:v>
      </x:c>
      <x:c r="H485" s="74" t="n">
        <x:v>23079.67</x:v>
      </x:c>
      <x:c r="I485" s="74" t="n">
        <x:v>633.96</x:v>
      </x:c>
      <x:c r="J485" s="74" t="n">
        <x:v>14236.07</x:v>
      </x:c>
      <x:c r="K485" s="74" t="n">
        <x:v>22445.71</x:v>
      </x:c>
      <x:c r="L485" s="74" t="n">
        <x:v>8209.64</x:v>
      </x:c>
    </x:row>
    <x:row r="486">
      <x:c r="A486" s="65" t="str">
        <x:v>TX-1433</x:v>
      </x:c>
      <x:c r="B486" s="65" t="str">
        <x:v>2026-03-25</x:v>
      </x:c>
      <x:c r="C486" s="65" t="str">
        <x:v>Operacoes</x:v>
      </x:c>
      <x:c r="D486" s="65" t="str">
        <x:v>Parceiros</x:v>
      </x:c>
      <x:c r="E486" s="65" t="str">
        <x:v>Nordeste</x:v>
      </x:c>
      <x:c r="F486" s="65" t="str">
        <x:v>Beta Logistica</x:v>
      </x:c>
      <x:c r="G486" s="65" t="str">
        <x:v>Bruno</x:v>
      </x:c>
      <x:c r="H486" s="74" t="n">
        <x:v>22397.68</x:v>
      </x:c>
      <x:c r="I486" s="74" t="n">
        <x:v>568.89</x:v>
      </x:c>
      <x:c r="J486" s="74" t="n">
        <x:v>15440.62</x:v>
      </x:c>
      <x:c r="K486" s="74" t="n">
        <x:v>21828.79</x:v>
      </x:c>
      <x:c r="L486" s="74" t="n">
        <x:v>6388.17</x:v>
      </x:c>
    </x:row>
    <x:row r="487">
      <x:c r="A487" s="65" t="str">
        <x:v>TX-1445</x:v>
      </x:c>
      <x:c r="B487" s="65" t="str">
        <x:v>2026-03-25</x:v>
      </x:c>
      <x:c r="C487" s="65" t="str">
        <x:v>Tecnologia</x:v>
      </x:c>
      <x:c r="D487" s="65" t="str">
        <x:v>Parceiros</x:v>
      </x:c>
      <x:c r="E487" s="65" t="str">
        <x:v>Centro-Oeste</x:v>
      </x:c>
      <x:c r="F487" s="65" t="str">
        <x:v>Delta Varejo</x:v>
      </x:c>
      <x:c r="G487" s="65" t="str">
        <x:v>Diego</x:v>
      </x:c>
      <x:c r="H487" s="74" t="n">
        <x:v>21384.08</x:v>
      </x:c>
      <x:c r="I487" s="74" t="n">
        <x:v>1662.69</x:v>
      </x:c>
      <x:c r="J487" s="74" t="n">
        <x:v>11941.11</x:v>
      </x:c>
      <x:c r="K487" s="74" t="n">
        <x:v>19721.390000000003</x:v>
      </x:c>
      <x:c r="L487" s="74" t="n">
        <x:v>7780.2800000000025</x:v>
      </x:c>
    </x:row>
    <x:row r="488">
      <x:c r="A488" s="65" t="str">
        <x:v>TX-1529</x:v>
      </x:c>
      <x:c r="B488" s="65" t="str">
        <x:v>2026-04-01</x:v>
      </x:c>
      <x:c r="C488" s="65" t="str">
        <x:v>Comercial</x:v>
      </x:c>
      <x:c r="D488" s="65" t="str">
        <x:v>Direto</x:v>
      </x:c>
      <x:c r="E488" s="65" t="str">
        <x:v>Centro-Oeste</x:v>
      </x:c>
      <x:c r="F488" s="65" t="str">
        <x:v>Alfa Industria</x:v>
      </x:c>
      <x:c r="G488" s="65" t="str">
        <x:v>Ana</x:v>
      </x:c>
      <x:c r="H488" s="74" t="n">
        <x:v>26777.81</x:v>
      </x:c>
      <x:c r="I488" s="74" t="n">
        <x:v>1734.13</x:v>
      </x:c>
      <x:c r="J488" s="74" t="n">
        <x:v>14628.65</x:v>
      </x:c>
      <x:c r="K488" s="74" t="n">
        <x:v>25043.68</x:v>
      </x:c>
      <x:c r="L488" s="74" t="n">
        <x:v>10415.03</x:v>
      </x:c>
    </x:row>
    <x:row r="489">
      <x:c r="A489" s="65" t="str">
        <x:v>TX-1499</x:v>
      </x:c>
      <x:c r="B489" s="65" t="str">
        <x:v>2026-04-01</x:v>
      </x:c>
      <x:c r="C489" s="65" t="str">
        <x:v>Operacoes</x:v>
      </x:c>
      <x:c r="D489" s="65" t="str">
        <x:v>Direto</x:v>
      </x:c>
      <x:c r="E489" s="65" t="str">
        <x:v>Sudeste</x:v>
      </x:c>
      <x:c r="F489" s="65" t="str">
        <x:v>Alfa Industria</x:v>
      </x:c>
      <x:c r="G489" s="65" t="str">
        <x:v>Ana</x:v>
      </x:c>
      <x:c r="H489" s="74" t="n">
        <x:v>13625.7</x:v>
      </x:c>
      <x:c r="I489" s="74" t="n">
        <x:v>430.74</x:v>
      </x:c>
      <x:c r="J489" s="74" t="n">
        <x:v>8918.17</x:v>
      </x:c>
      <x:c r="K489" s="74" t="n">
        <x:v>13194.960000000001</x:v>
      </x:c>
      <x:c r="L489" s="74" t="n">
        <x:v>4276.790000000001</x:v>
      </x:c>
    </x:row>
    <x:row r="490">
      <x:c r="A490" s="65" t="str">
        <x:v>TX-1535</x:v>
      </x:c>
      <x:c r="B490" s="65" t="str">
        <x:v>2026-04-01</x:v>
      </x:c>
      <x:c r="C490" s="65" t="str">
        <x:v>Marketing</x:v>
      </x:c>
      <x:c r="D490" s="65" t="str">
        <x:v>Direto</x:v>
      </x:c>
      <x:c r="E490" s="65" t="str">
        <x:v>Nordeste</x:v>
      </x:c>
      <x:c r="F490" s="65" t="str">
        <x:v>Foco Energia</x:v>
      </x:c>
      <x:c r="G490" s="65" t="str">
        <x:v>Elisa</x:v>
      </x:c>
      <x:c r="H490" s="74" t="n">
        <x:v>8176</x:v>
      </x:c>
      <x:c r="I490" s="74" t="n">
        <x:v>155.67</x:v>
      </x:c>
      <x:c r="J490" s="74" t="n">
        <x:v>5926.64</x:v>
      </x:c>
      <x:c r="K490" s="74" t="n">
        <x:v>8020.33</x:v>
      </x:c>
      <x:c r="L490" s="74" t="n">
        <x:v>2093.6899999999996</x:v>
      </x:c>
    </x:row>
    <x:row r="491">
      <x:c r="A491" s="65" t="str">
        <x:v>TX-1528</x:v>
      </x:c>
      <x:c r="B491" s="65" t="str">
        <x:v>2026-04-01</x:v>
      </x:c>
      <x:c r="C491" s="65" t="str">
        <x:v>Operacoes</x:v>
      </x:c>
      <x:c r="D491" s="65" t="str">
        <x:v>Digital</x:v>
      </x:c>
      <x:c r="E491" s="65" t="str">
        <x:v>Centro-Oeste</x:v>
      </x:c>
      <x:c r="F491" s="65" t="str">
        <x:v>Evo Saude</x:v>
      </x:c>
      <x:c r="G491" s="65" t="str">
        <x:v>Diego</x:v>
      </x:c>
      <x:c r="H491" s="74" t="n">
        <x:v>19792.1</x:v>
      </x:c>
      <x:c r="I491" s="74" t="n">
        <x:v>652.49</x:v>
      </x:c>
      <x:c r="J491" s="74" t="n">
        <x:v>13941.42</x:v>
      </x:c>
      <x:c r="K491" s="74" t="n">
        <x:v>19139.609999999997</x:v>
      </x:c>
      <x:c r="L491" s="74" t="n">
        <x:v>5198.189999999997</x:v>
      </x:c>
    </x:row>
    <x:row r="492">
      <x:c r="A492" s="65" t="str">
        <x:v>TX-1500</x:v>
      </x:c>
      <x:c r="B492" s="65" t="str">
        <x:v>2026-04-02</x:v>
      </x:c>
      <x:c r="C492" s="65" t="str">
        <x:v>Operacoes</x:v>
      </x:c>
      <x:c r="D492" s="65" t="str">
        <x:v>Direto</x:v>
      </x:c>
      <x:c r="E492" s="65" t="str">
        <x:v>Sul</x:v>
      </x:c>
      <x:c r="F492" s="65" t="str">
        <x:v>Beta Logistica</x:v>
      </x:c>
      <x:c r="G492" s="65" t="str">
        <x:v>Felipe</x:v>
      </x:c>
      <x:c r="H492" s="74" t="n">
        <x:v>16569.95</x:v>
      </x:c>
      <x:c r="I492" s="74" t="n">
        <x:v>719.07</x:v>
      </x:c>
      <x:c r="J492" s="74" t="n">
        <x:v>11476.85</x:v>
      </x:c>
      <x:c r="K492" s="74" t="n">
        <x:v>15850.880000000001</x:v>
      </x:c>
      <x:c r="L492" s="74" t="n">
        <x:v>4374.030000000001</x:v>
      </x:c>
    </x:row>
    <x:row r="493">
      <x:c r="A493" s="65" t="str">
        <x:v>TX-1524</x:v>
      </x:c>
      <x:c r="B493" s="65" t="str">
        <x:v>2026-04-03</x:v>
      </x:c>
      <x:c r="C493" s="65" t="str">
        <x:v>Marketing</x:v>
      </x:c>
      <x:c r="D493" s="65" t="str">
        <x:v>Parceiros</x:v>
      </x:c>
      <x:c r="E493" s="65" t="str">
        <x:v>Sul</x:v>
      </x:c>
      <x:c r="F493" s="65" t="str">
        <x:v>Beta Logistica</x:v>
      </x:c>
      <x:c r="G493" s="65" t="str">
        <x:v>Carla</x:v>
      </x:c>
      <x:c r="H493" s="74" t="n">
        <x:v>18833.39</x:v>
      </x:c>
      <x:c r="I493" s="74" t="n">
        <x:v>639.56</x:v>
      </x:c>
      <x:c r="J493" s="74" t="n">
        <x:v>13387.19</x:v>
      </x:c>
      <x:c r="K493" s="74" t="n">
        <x:v>18193.829999999998</x:v>
      </x:c>
      <x:c r="L493" s="74" t="n">
        <x:v>4806.639999999998</x:v>
      </x:c>
    </x:row>
    <x:row r="494">
      <x:c r="A494" s="65" t="str">
        <x:v>TX-1488</x:v>
      </x:c>
      <x:c r="B494" s="65" t="str">
        <x:v>2026-04-04</x:v>
      </x:c>
      <x:c r="C494" s="65" t="str">
        <x:v>Comercial</x:v>
      </x:c>
      <x:c r="D494" s="65" t="str">
        <x:v>Digital</x:v>
      </x:c>
      <x:c r="E494" s="65" t="str">
        <x:v>Sudeste</x:v>
      </x:c>
      <x:c r="F494" s="65" t="str">
        <x:v>Beta Logistica</x:v>
      </x:c>
      <x:c r="G494" s="65" t="str">
        <x:v>Diego</x:v>
      </x:c>
      <x:c r="H494" s="74" t="n">
        <x:v>25295.46</x:v>
      </x:c>
      <x:c r="I494" s="74" t="n">
        <x:v>395.57</x:v>
      </x:c>
      <x:c r="J494" s="74" t="n">
        <x:v>12937.99</x:v>
      </x:c>
      <x:c r="K494" s="74" t="n">
        <x:v>24899.89</x:v>
      </x:c>
      <x:c r="L494" s="74" t="n">
        <x:v>11961.9</x:v>
      </x:c>
    </x:row>
    <x:row r="495">
      <x:c r="A495" s="65" t="str">
        <x:v>TX-1502</x:v>
      </x:c>
      <x:c r="B495" s="65" t="str">
        <x:v>2026-04-04</x:v>
      </x:c>
      <x:c r="C495" s="65" t="str">
        <x:v>Operacoes</x:v>
      </x:c>
      <x:c r="D495" s="65" t="str">
        <x:v>Direto</x:v>
      </x:c>
      <x:c r="E495" s="65" t="str">
        <x:v>Centro-Oeste</x:v>
      </x:c>
      <x:c r="F495" s="65" t="str">
        <x:v>Alfa Industria</x:v>
      </x:c>
      <x:c r="G495" s="65" t="str">
        <x:v>Diego</x:v>
      </x:c>
      <x:c r="H495" s="74" t="n">
        <x:v>17138.31</x:v>
      </x:c>
      <x:c r="I495" s="74" t="n">
        <x:v>751.39</x:v>
      </x:c>
      <x:c r="J495" s="74" t="n">
        <x:v>11432.42</x:v>
      </x:c>
      <x:c r="K495" s="74" t="n">
        <x:v>16386.920000000002</x:v>
      </x:c>
      <x:c r="L495" s="74" t="n">
        <x:v>4954.500000000002</x:v>
      </x:c>
    </x:row>
    <x:row r="496">
      <x:c r="A496" s="65" t="str">
        <x:v>TX-1539</x:v>
      </x:c>
      <x:c r="B496" s="65" t="str">
        <x:v>2026-04-05</x:v>
      </x:c>
      <x:c r="C496" s="65" t="str">
        <x:v>Tecnologia</x:v>
      </x:c>
      <x:c r="D496" s="65" t="str">
        <x:v>Digital</x:v>
      </x:c>
      <x:c r="E496" s="65" t="str">
        <x:v>Sudeste</x:v>
      </x:c>
      <x:c r="F496" s="65" t="str">
        <x:v>Evo Saude</x:v>
      </x:c>
      <x:c r="G496" s="65" t="str">
        <x:v>Carla</x:v>
      </x:c>
      <x:c r="H496" s="74" t="n">
        <x:v>22749.14</x:v>
      </x:c>
      <x:c r="I496" s="74" t="n">
        <x:v>1056.93</x:v>
      </x:c>
      <x:c r="J496" s="74" t="n">
        <x:v>12405.23</x:v>
      </x:c>
      <x:c r="K496" s="74" t="n">
        <x:v>21692.21</x:v>
      </x:c>
      <x:c r="L496" s="74" t="n">
        <x:v>9286.98</x:v>
      </x:c>
    </x:row>
    <x:row r="497">
      <x:c r="A497" s="65" t="str">
        <x:v>TX-1517</x:v>
      </x:c>
      <x:c r="B497" s="65" t="str">
        <x:v>2026-04-05</x:v>
      </x:c>
      <x:c r="C497" s="65" t="str">
        <x:v>Tecnologia</x:v>
      </x:c>
      <x:c r="D497" s="65" t="str">
        <x:v>Parceiros</x:v>
      </x:c>
      <x:c r="E497" s="65" t="str">
        <x:v>Sul</x:v>
      </x:c>
      <x:c r="F497" s="65" t="str">
        <x:v>Crescer Educacao</x:v>
      </x:c>
      <x:c r="G497" s="65" t="str">
        <x:v>Felipe</x:v>
      </x:c>
      <x:c r="H497" s="74" t="n">
        <x:v>20691.25</x:v>
      </x:c>
      <x:c r="I497" s="74" t="n">
        <x:v>221.58</x:v>
      </x:c>
      <x:c r="J497" s="74" t="n">
        <x:v>12409.61</x:v>
      </x:c>
      <x:c r="K497" s="74" t="n">
        <x:v>20469.67</x:v>
      </x:c>
      <x:c r="L497" s="74" t="n">
        <x:v>8060.059999999998</x:v>
      </x:c>
    </x:row>
    <x:row r="498">
      <x:c r="A498" s="65" t="str">
        <x:v>TX-1515</x:v>
      </x:c>
      <x:c r="B498" s="65" t="str">
        <x:v>2026-04-08</x:v>
      </x:c>
      <x:c r="C498" s="65" t="str">
        <x:v>Tecnologia</x:v>
      </x:c>
      <x:c r="D498" s="65" t="str">
        <x:v>Digital</x:v>
      </x:c>
      <x:c r="E498" s="65" t="str">
        <x:v>Sul</x:v>
      </x:c>
      <x:c r="F498" s="65" t="str">
        <x:v>Evo Saude</x:v>
      </x:c>
      <x:c r="G498" s="65" t="str">
        <x:v>Elisa</x:v>
      </x:c>
      <x:c r="H498" s="74" t="n">
        <x:v>26203.08</x:v>
      </x:c>
      <x:c r="I498" s="74" t="n">
        <x:v>1356.02</x:v>
      </x:c>
      <x:c r="J498" s="74" t="n">
        <x:v>14738.49</x:v>
      </x:c>
      <x:c r="K498" s="74" t="n">
        <x:v>24847.06</x:v>
      </x:c>
      <x:c r="L498" s="74" t="n">
        <x:v>10108.570000000002</x:v>
      </x:c>
    </x:row>
    <x:row r="499">
      <x:c r="A499" s="65" t="str">
        <x:v>TX-1489</x:v>
      </x:c>
      <x:c r="B499" s="65" t="str">
        <x:v>2026-04-08</x:v>
      </x:c>
      <x:c r="C499" s="65" t="str">
        <x:v>Comercial</x:v>
      </x:c>
      <x:c r="D499" s="65" t="str">
        <x:v>Direto</x:v>
      </x:c>
      <x:c r="E499" s="65" t="str">
        <x:v>Nordeste</x:v>
      </x:c>
      <x:c r="F499" s="65" t="str">
        <x:v>Gama Servicos</x:v>
      </x:c>
      <x:c r="G499" s="65" t="str">
        <x:v>Carla</x:v>
      </x:c>
      <x:c r="H499" s="74" t="n">
        <x:v>23819.72</x:v>
      </x:c>
      <x:c r="I499" s="74" t="n">
        <x:v>1160.98</x:v>
      </x:c>
      <x:c r="J499" s="74" t="n">
        <x:v>13396.27</x:v>
      </x:c>
      <x:c r="K499" s="74" t="n">
        <x:v>22658.74</x:v>
      </x:c>
      <x:c r="L499" s="74" t="n">
        <x:v>9262.470000000001</x:v>
      </x:c>
    </x:row>
    <x:row r="500">
      <x:c r="A500" s="65" t="str">
        <x:v>TX-1536</x:v>
      </x:c>
      <x:c r="B500" s="65" t="str">
        <x:v>2026-04-10</x:v>
      </x:c>
      <x:c r="C500" s="65" t="str">
        <x:v>Tecnologia</x:v>
      </x:c>
      <x:c r="D500" s="65" t="str">
        <x:v>Direto</x:v>
      </x:c>
      <x:c r="E500" s="65" t="str">
        <x:v>Nordeste</x:v>
      </x:c>
      <x:c r="F500" s="65" t="str">
        <x:v>Foco Energia</x:v>
      </x:c>
      <x:c r="G500" s="65" t="str">
        <x:v>Felipe</x:v>
      </x:c>
      <x:c r="H500" s="74" t="n">
        <x:v>25957.28</x:v>
      </x:c>
      <x:c r="I500" s="74" t="n">
        <x:v>1011.86</x:v>
      </x:c>
      <x:c r="J500" s="74" t="n">
        <x:v>14700.09</x:v>
      </x:c>
      <x:c r="K500" s="74" t="n">
        <x:v>24945.42</x:v>
      </x:c>
      <x:c r="L500" s="74" t="n">
        <x:v>10245.329999999998</x:v>
      </x:c>
    </x:row>
    <x:row r="501">
      <x:c r="A501" s="65" t="str">
        <x:v>TX-1511</x:v>
      </x:c>
      <x:c r="B501" s="65" t="str">
        <x:v>2026-04-10</x:v>
      </x:c>
      <x:c r="C501" s="65" t="str">
        <x:v>Tecnologia</x:v>
      </x:c>
      <x:c r="D501" s="65" t="str">
        <x:v>Digital</x:v>
      </x:c>
      <x:c r="E501" s="65" t="str">
        <x:v>Nordeste</x:v>
      </x:c>
      <x:c r="F501" s="65" t="str">
        <x:v>Beta Logistica</x:v>
      </x:c>
      <x:c r="G501" s="65" t="str">
        <x:v>Carla</x:v>
      </x:c>
      <x:c r="H501" s="74" t="n">
        <x:v>21086.27</x:v>
      </x:c>
      <x:c r="I501" s="74" t="n">
        <x:v>1514.39</x:v>
      </x:c>
      <x:c r="J501" s="74" t="n">
        <x:v>12668.97</x:v>
      </x:c>
      <x:c r="K501" s="74" t="n">
        <x:v>19571.88</x:v>
      </x:c>
      <x:c r="L501" s="74" t="n">
        <x:v>6902.910000000002</x:v>
      </x:c>
    </x:row>
    <x:row r="502">
      <x:c r="A502" s="65" t="str">
        <x:v>TX-1530</x:v>
      </x:c>
      <x:c r="B502" s="65" t="str">
        <x:v>2026-04-10</x:v>
      </x:c>
      <x:c r="C502" s="65" t="str">
        <x:v>Operacoes</x:v>
      </x:c>
      <x:c r="D502" s="65" t="str">
        <x:v>Direto</x:v>
      </x:c>
      <x:c r="E502" s="65" t="str">
        <x:v>Nordeste</x:v>
      </x:c>
      <x:c r="F502" s="65" t="str">
        <x:v>Gama Servicos</x:v>
      </x:c>
      <x:c r="G502" s="65" t="str">
        <x:v>Ana</x:v>
      </x:c>
      <x:c r="H502" s="74" t="n">
        <x:v>26456.09</x:v>
      </x:c>
      <x:c r="I502" s="74" t="n">
        <x:v>1726.76</x:v>
      </x:c>
      <x:c r="J502" s="74" t="n">
        <x:v>17108.66</x:v>
      </x:c>
      <x:c r="K502" s="74" t="n">
        <x:v>24729.33</x:v>
      </x:c>
      <x:c r="L502" s="74" t="n">
        <x:v>7620.670000000002</x:v>
      </x:c>
    </x:row>
    <x:row r="503">
      <x:c r="A503" s="65" t="str">
        <x:v>TX-1509</x:v>
      </x:c>
      <x:c r="B503" s="65" t="str">
        <x:v>2026-04-11</x:v>
      </x:c>
      <x:c r="C503" s="65" t="str">
        <x:v>Operacoes</x:v>
      </x:c>
      <x:c r="D503" s="65" t="str">
        <x:v>Digital</x:v>
      </x:c>
      <x:c r="E503" s="65" t="str">
        <x:v>Sul</x:v>
      </x:c>
      <x:c r="F503" s="65" t="str">
        <x:v>Alfa Industria</x:v>
      </x:c>
      <x:c r="G503" s="65" t="str">
        <x:v>Felipe</x:v>
      </x:c>
      <x:c r="H503" s="74" t="n">
        <x:v>16111.77</x:v>
      </x:c>
      <x:c r="I503" s="74" t="n">
        <x:v>842.67</x:v>
      </x:c>
      <x:c r="J503" s="74" t="n">
        <x:v>10202.68</x:v>
      </x:c>
      <x:c r="K503" s="74" t="n">
        <x:v>15269.1</x:v>
      </x:c>
      <x:c r="L503" s="74" t="n">
        <x:v>5066.42</x:v>
      </x:c>
    </x:row>
    <x:row r="504">
      <x:c r="A504" s="65" t="str">
        <x:v>TX-1498</x:v>
      </x:c>
      <x:c r="B504" s="65" t="str">
        <x:v>2026-04-11</x:v>
      </x:c>
      <x:c r="C504" s="65" t="str">
        <x:v>Marketing</x:v>
      </x:c>
      <x:c r="D504" s="65" t="str">
        <x:v>Direto</x:v>
      </x:c>
      <x:c r="E504" s="65" t="str">
        <x:v>Centro-Oeste</x:v>
      </x:c>
      <x:c r="F504" s="65" t="str">
        <x:v>Delta Varejo</x:v>
      </x:c>
      <x:c r="G504" s="65" t="str">
        <x:v>Elisa</x:v>
      </x:c>
      <x:c r="H504" s="74" t="n">
        <x:v>18813.17</x:v>
      </x:c>
      <x:c r="I504" s="74" t="n">
        <x:v>1467.34</x:v>
      </x:c>
      <x:c r="J504" s="74" t="n">
        <x:v>12288.18</x:v>
      </x:c>
      <x:c r="K504" s="74" t="n">
        <x:v>17345.829999999998</x:v>
      </x:c>
      <x:c r="L504" s="74" t="n">
        <x:v>5057.649999999998</x:v>
      </x:c>
    </x:row>
    <x:row r="505">
      <x:c r="A505" s="65" t="str">
        <x:v>TX-1512</x:v>
      </x:c>
      <x:c r="B505" s="65" t="str">
        <x:v>2026-04-12</x:v>
      </x:c>
      <x:c r="C505" s="65" t="str">
        <x:v>Operacoes</x:v>
      </x:c>
      <x:c r="D505" s="65" t="str">
        <x:v>Digital</x:v>
      </x:c>
      <x:c r="E505" s="65" t="str">
        <x:v>Centro-Oeste</x:v>
      </x:c>
      <x:c r="F505" s="65" t="str">
        <x:v>Gama Servicos</x:v>
      </x:c>
      <x:c r="G505" s="65" t="str">
        <x:v>Ana</x:v>
      </x:c>
      <x:c r="H505" s="74" t="n">
        <x:v>20819.79</x:v>
      </x:c>
      <x:c r="I505" s="74" t="n">
        <x:v>359.05</x:v>
      </x:c>
      <x:c r="J505" s="74" t="n">
        <x:v>14137.82</x:v>
      </x:c>
      <x:c r="K505" s="74" t="n">
        <x:v>20460.74</x:v>
      </x:c>
      <x:c r="L505" s="74" t="n">
        <x:v>6322.920000000002</x:v>
      </x:c>
    </x:row>
    <x:row r="506">
      <x:c r="A506" s="65" t="str">
        <x:v>TX-1486</x:v>
      </x:c>
      <x:c r="B506" s="65" t="str">
        <x:v>2026-04-12</x:v>
      </x:c>
      <x:c r="C506" s="65" t="str">
        <x:v>Marketing</x:v>
      </x:c>
      <x:c r="D506" s="65" t="str">
        <x:v>Digital</x:v>
      </x:c>
      <x:c r="E506" s="65" t="str">
        <x:v>Sul</x:v>
      </x:c>
      <x:c r="F506" s="65" t="str">
        <x:v>Alfa Industria</x:v>
      </x:c>
      <x:c r="G506" s="65" t="str">
        <x:v>Ana</x:v>
      </x:c>
      <x:c r="H506" s="74" t="n">
        <x:v>13366.65</x:v>
      </x:c>
      <x:c r="I506" s="74" t="n">
        <x:v>798.7</x:v>
      </x:c>
      <x:c r="J506" s="74" t="n">
        <x:v>8988.81</x:v>
      </x:c>
      <x:c r="K506" s="74" t="n">
        <x:v>12567.949999999999</x:v>
      </x:c>
      <x:c r="L506" s="74" t="n">
        <x:v>3579.1399999999994</x:v>
      </x:c>
    </x:row>
    <x:row r="507">
      <x:c r="A507" s="65" t="str">
        <x:v>TX-1526</x:v>
      </x:c>
      <x:c r="B507" s="65" t="str">
        <x:v>2026-04-12</x:v>
      </x:c>
      <x:c r="C507" s="65" t="str">
        <x:v>Marketing</x:v>
      </x:c>
      <x:c r="D507" s="65" t="str">
        <x:v>Direto</x:v>
      </x:c>
      <x:c r="E507" s="65" t="str">
        <x:v>Sul</x:v>
      </x:c>
      <x:c r="F507" s="65" t="str">
        <x:v>Alfa Industria</x:v>
      </x:c>
      <x:c r="G507" s="65" t="str">
        <x:v>Diego</x:v>
      </x:c>
      <x:c r="H507" s="74" t="n">
        <x:v>13499.74</x:v>
      </x:c>
      <x:c r="I507" s="74" t="n">
        <x:v>666.02</x:v>
      </x:c>
      <x:c r="J507" s="74" t="n">
        <x:v>9695.74</x:v>
      </x:c>
      <x:c r="K507" s="74" t="n">
        <x:v>12833.72</x:v>
      </x:c>
      <x:c r="L507" s="74" t="n">
        <x:v>3137.9799999999996</x:v>
      </x:c>
    </x:row>
    <x:row r="508">
      <x:c r="A508" s="65" t="str">
        <x:v>TX-1505</x:v>
      </x:c>
      <x:c r="B508" s="65" t="str">
        <x:v>2026-04-13</x:v>
      </x:c>
      <x:c r="C508" s="65" t="str">
        <x:v>Tecnologia</x:v>
      </x:c>
      <x:c r="D508" s="65" t="str">
        <x:v>Digital</x:v>
      </x:c>
      <x:c r="E508" s="65" t="str">
        <x:v>Sul</x:v>
      </x:c>
      <x:c r="F508" s="65" t="str">
        <x:v>Beta Logistica</x:v>
      </x:c>
      <x:c r="G508" s="65" t="str">
        <x:v>Ana</x:v>
      </x:c>
      <x:c r="H508" s="74" t="n">
        <x:v>27791.04</x:v>
      </x:c>
      <x:c r="I508" s="74" t="n">
        <x:v>1749.18</x:v>
      </x:c>
      <x:c r="J508" s="74" t="n">
        <x:v>17227.67</x:v>
      </x:c>
      <x:c r="K508" s="74" t="n">
        <x:v>26041.86</x:v>
      </x:c>
      <x:c r="L508" s="74" t="n">
        <x:v>8814.190000000002</x:v>
      </x:c>
    </x:row>
    <x:row r="509">
      <x:c r="A509" s="65" t="str">
        <x:v>TX-1523</x:v>
      </x:c>
      <x:c r="B509" s="65" t="str">
        <x:v>2026-04-13</x:v>
      </x:c>
      <x:c r="C509" s="65" t="str">
        <x:v>Comercial</x:v>
      </x:c>
      <x:c r="D509" s="65" t="str">
        <x:v>Direto</x:v>
      </x:c>
      <x:c r="E509" s="65" t="str">
        <x:v>Centro-Oeste</x:v>
      </x:c>
      <x:c r="F509" s="65" t="str">
        <x:v>Foco Energia</x:v>
      </x:c>
      <x:c r="G509" s="65" t="str">
        <x:v>Ana</x:v>
      </x:c>
      <x:c r="H509" s="74" t="n">
        <x:v>26256.37</x:v>
      </x:c>
      <x:c r="I509" s="74" t="n">
        <x:v>689.12</x:v>
      </x:c>
      <x:c r="J509" s="74" t="n">
        <x:v>15358.27</x:v>
      </x:c>
      <x:c r="K509" s="74" t="n">
        <x:v>25567.25</x:v>
      </x:c>
      <x:c r="L509" s="74" t="n">
        <x:v>10208.98</x:v>
      </x:c>
    </x:row>
    <x:row r="510">
      <x:c r="A510" s="65" t="str">
        <x:v>TX-1518</x:v>
      </x:c>
      <x:c r="B510" s="65" t="str">
        <x:v>2026-04-13</x:v>
      </x:c>
      <x:c r="C510" s="65" t="str">
        <x:v>Comercial</x:v>
      </x:c>
      <x:c r="D510" s="65" t="str">
        <x:v>Direto</x:v>
      </x:c>
      <x:c r="E510" s="65" t="str">
        <x:v>Nordeste</x:v>
      </x:c>
      <x:c r="F510" s="65" t="str">
        <x:v>Foco Energia</x:v>
      </x:c>
      <x:c r="G510" s="65" t="str">
        <x:v>Felipe</x:v>
      </x:c>
      <x:c r="H510" s="74" t="n">
        <x:v>36138.35</x:v>
      </x:c>
      <x:c r="I510" s="74" t="n">
        <x:v>2694.74</x:v>
      </x:c>
      <x:c r="J510" s="74" t="n">
        <x:v>18323.22</x:v>
      </x:c>
      <x:c r="K510" s="74" t="n">
        <x:v>33443.61</x:v>
      </x:c>
      <x:c r="L510" s="74" t="n">
        <x:v>15120.39</x:v>
      </x:c>
    </x:row>
    <x:row r="511">
      <x:c r="A511" s="65" t="str">
        <x:v>TX-1490</x:v>
      </x:c>
      <x:c r="B511" s="65" t="str">
        <x:v>2026-04-14</x:v>
      </x:c>
      <x:c r="C511" s="65" t="str">
        <x:v>Tecnologia</x:v>
      </x:c>
      <x:c r="D511" s="65" t="str">
        <x:v>Digital</x:v>
      </x:c>
      <x:c r="E511" s="65" t="str">
        <x:v>Sul</x:v>
      </x:c>
      <x:c r="F511" s="65" t="str">
        <x:v>Horizonte Tech</x:v>
      </x:c>
      <x:c r="G511" s="65" t="str">
        <x:v>Elisa</x:v>
      </x:c>
      <x:c r="H511" s="74" t="n">
        <x:v>24443.72</x:v>
      </x:c>
      <x:c r="I511" s="74" t="n">
        <x:v>508.46</x:v>
      </x:c>
      <x:c r="J511" s="74" t="n">
        <x:v>14506.79</x:v>
      </x:c>
      <x:c r="K511" s="74" t="n">
        <x:v>23935.260000000002</x:v>
      </x:c>
      <x:c r="L511" s="74" t="n">
        <x:v>9428.470000000001</x:v>
      </x:c>
    </x:row>
    <x:row r="512">
      <x:c r="A512" s="65" t="str">
        <x:v>TX-1525</x:v>
      </x:c>
      <x:c r="B512" s="65" t="str">
        <x:v>2026-04-14</x:v>
      </x:c>
      <x:c r="C512" s="65" t="str">
        <x:v>Comercial</x:v>
      </x:c>
      <x:c r="D512" s="65" t="str">
        <x:v>Digital</x:v>
      </x:c>
      <x:c r="E512" s="65" t="str">
        <x:v>Nordeste</x:v>
      </x:c>
      <x:c r="F512" s="65" t="str">
        <x:v>Beta Logistica</x:v>
      </x:c>
      <x:c r="G512" s="65" t="str">
        <x:v>Diego</x:v>
      </x:c>
      <x:c r="H512" s="74" t="n">
        <x:v>24648.78</x:v>
      </x:c>
      <x:c r="I512" s="74" t="n">
        <x:v>1841.27</x:v>
      </x:c>
      <x:c r="J512" s="74" t="n">
        <x:v>12301.42</x:v>
      </x:c>
      <x:c r="K512" s="74" t="n">
        <x:v>22807.51</x:v>
      </x:c>
      <x:c r="L512" s="74" t="n">
        <x:v>10506.089999999998</x:v>
      </x:c>
    </x:row>
    <x:row r="513">
      <x:c r="A513" s="65" t="str">
        <x:v>TX-1519</x:v>
      </x:c>
      <x:c r="B513" s="65" t="str">
        <x:v>2026-04-14</x:v>
      </x:c>
      <x:c r="C513" s="65" t="str">
        <x:v>Marketing</x:v>
      </x:c>
      <x:c r="D513" s="65" t="str">
        <x:v>Parceiros</x:v>
      </x:c>
      <x:c r="E513" s="65" t="str">
        <x:v>Nordeste</x:v>
      </x:c>
      <x:c r="F513" s="65" t="str">
        <x:v>Beta Logistica</x:v>
      </x:c>
      <x:c r="G513" s="65" t="str">
        <x:v>Felipe</x:v>
      </x:c>
      <x:c r="H513" s="74" t="n">
        <x:v>18322.23</x:v>
      </x:c>
      <x:c r="I513" s="74" t="n">
        <x:v>527.61</x:v>
      </x:c>
      <x:c r="J513" s="74" t="n">
        <x:v>12928.58</x:v>
      </x:c>
      <x:c r="K513" s="74" t="n">
        <x:v>17794.62</x:v>
      </x:c>
      <x:c r="L513" s="74" t="n">
        <x:v>4866.039999999999</x:v>
      </x:c>
    </x:row>
    <x:row r="514">
      <x:c r="A514" s="65" t="str">
        <x:v>TX-1516</x:v>
      </x:c>
      <x:c r="B514" s="65" t="str">
        <x:v>2026-04-14</x:v>
      </x:c>
      <x:c r="C514" s="65" t="str">
        <x:v>Operacoes</x:v>
      </x:c>
      <x:c r="D514" s="65" t="str">
        <x:v>Direto</x:v>
      </x:c>
      <x:c r="E514" s="65" t="str">
        <x:v>Centro-Oeste</x:v>
      </x:c>
      <x:c r="F514" s="65" t="str">
        <x:v>Gama Servicos</x:v>
      </x:c>
      <x:c r="G514" s="65" t="str">
        <x:v>Ana</x:v>
      </x:c>
      <x:c r="H514" s="74" t="n">
        <x:v>20372.16</x:v>
      </x:c>
      <x:c r="I514" s="74" t="n">
        <x:v>832.67</x:v>
      </x:c>
      <x:c r="J514" s="74" t="n">
        <x:v>13211.65</x:v>
      </x:c>
      <x:c r="K514" s="74" t="n">
        <x:v>19539.49</x:v>
      </x:c>
      <x:c r="L514" s="74" t="n">
        <x:v>6327.840000000002</x:v>
      </x:c>
    </x:row>
    <x:row r="515">
      <x:c r="A515" s="65" t="str">
        <x:v>TX-1513</x:v>
      </x:c>
      <x:c r="B515" s="65" t="str">
        <x:v>2026-04-15</x:v>
      </x:c>
      <x:c r="C515" s="65" t="str">
        <x:v>Operacoes</x:v>
      </x:c>
      <x:c r="D515" s="65" t="str">
        <x:v>Digital</x:v>
      </x:c>
      <x:c r="E515" s="65" t="str">
        <x:v>Sudeste</x:v>
      </x:c>
      <x:c r="F515" s="65" t="str">
        <x:v>Alfa Industria</x:v>
      </x:c>
      <x:c r="G515" s="65" t="str">
        <x:v>Bruno</x:v>
      </x:c>
      <x:c r="H515" s="74" t="n">
        <x:v>18643.84</x:v>
      </x:c>
      <x:c r="I515" s="74" t="n">
        <x:v>229.33</x:v>
      </x:c>
      <x:c r="J515" s="74" t="n">
        <x:v>13588.44</x:v>
      </x:c>
      <x:c r="K515" s="74" t="n">
        <x:v>18414.51</x:v>
      </x:c>
      <x:c r="L515" s="74" t="n">
        <x:v>4826.069999999998</x:v>
      </x:c>
    </x:row>
    <x:row r="516">
      <x:c r="A516" s="65" t="str">
        <x:v>TX-1507</x:v>
      </x:c>
      <x:c r="B516" s="65" t="str">
        <x:v>2026-04-15</x:v>
      </x:c>
      <x:c r="C516" s="65" t="str">
        <x:v>Comercial</x:v>
      </x:c>
      <x:c r="D516" s="65" t="str">
        <x:v>Digital</x:v>
      </x:c>
      <x:c r="E516" s="65" t="str">
        <x:v>Nordeste</x:v>
      </x:c>
      <x:c r="F516" s="65" t="str">
        <x:v>Delta Varejo</x:v>
      </x:c>
      <x:c r="G516" s="65" t="str">
        <x:v>Bruno</x:v>
      </x:c>
      <x:c r="H516" s="74" t="n">
        <x:v>27707.09</x:v>
      </x:c>
      <x:c r="I516" s="74" t="n">
        <x:v>2094.2</x:v>
      </x:c>
      <x:c r="J516" s="74" t="n">
        <x:v>13993.73</x:v>
      </x:c>
      <x:c r="K516" s="74" t="n">
        <x:v>25612.89</x:v>
      </x:c>
      <x:c r="L516" s="74" t="n">
        <x:v>11619.16</x:v>
      </x:c>
    </x:row>
    <x:row r="517">
      <x:c r="A517" s="65" t="str">
        <x:v>TX-1527</x:v>
      </x:c>
      <x:c r="B517" s="65" t="str">
        <x:v>2026-04-15</x:v>
      </x:c>
      <x:c r="C517" s="65" t="str">
        <x:v>Comercial</x:v>
      </x:c>
      <x:c r="D517" s="65" t="str">
        <x:v>Direto</x:v>
      </x:c>
      <x:c r="E517" s="65" t="str">
        <x:v>Centro-Oeste</x:v>
      </x:c>
      <x:c r="F517" s="65" t="str">
        <x:v>Beta Logistica</x:v>
      </x:c>
      <x:c r="G517" s="65" t="str">
        <x:v>Carla</x:v>
      </x:c>
      <x:c r="H517" s="74" t="n">
        <x:v>20874.37</x:v>
      </x:c>
      <x:c r="I517" s="74" t="n">
        <x:v>267.82</x:v>
      </x:c>
      <x:c r="J517" s="74" t="n">
        <x:v>12200.03</x:v>
      </x:c>
      <x:c r="K517" s="74" t="n">
        <x:v>20606.55</x:v>
      </x:c>
      <x:c r="L517" s="74" t="n">
        <x:v>8406.519999999999</x:v>
      </x:c>
    </x:row>
    <x:row r="518">
      <x:c r="A518" s="65" t="str">
        <x:v>TX-1514</x:v>
      </x:c>
      <x:c r="B518" s="65" t="str">
        <x:v>2026-04-15</x:v>
      </x:c>
      <x:c r="C518" s="65" t="str">
        <x:v>Tecnologia</x:v>
      </x:c>
      <x:c r="D518" s="65" t="str">
        <x:v>Digital</x:v>
      </x:c>
      <x:c r="E518" s="65" t="str">
        <x:v>Sudeste</x:v>
      </x:c>
      <x:c r="F518" s="65" t="str">
        <x:v>Foco Energia</x:v>
      </x:c>
      <x:c r="G518" s="65" t="str">
        <x:v>Felipe</x:v>
      </x:c>
      <x:c r="H518" s="74" t="n">
        <x:v>19456.5</x:v>
      </x:c>
      <x:c r="I518" s="74" t="n">
        <x:v>958.08</x:v>
      </x:c>
      <x:c r="J518" s="74" t="n">
        <x:v>10662.66</x:v>
      </x:c>
      <x:c r="K518" s="74" t="n">
        <x:v>18498.42</x:v>
      </x:c>
      <x:c r="L518" s="74" t="n">
        <x:v>7835.759999999998</x:v>
      </x:c>
    </x:row>
    <x:row r="519">
      <x:c r="A519" s="65" t="str">
        <x:v>TX-1497</x:v>
      </x:c>
      <x:c r="B519" s="65" t="str">
        <x:v>2026-04-15</x:v>
      </x:c>
      <x:c r="C519" s="65" t="str">
        <x:v>Marketing</x:v>
      </x:c>
      <x:c r="D519" s="65" t="str">
        <x:v>Direto</x:v>
      </x:c>
      <x:c r="E519" s="65" t="str">
        <x:v>Sul</x:v>
      </x:c>
      <x:c r="F519" s="65" t="str">
        <x:v>Crescer Educacao</x:v>
      </x:c>
      <x:c r="G519" s="65" t="str">
        <x:v>Elisa</x:v>
      </x:c>
      <x:c r="H519" s="74" t="n">
        <x:v>12374.01</x:v>
      </x:c>
      <x:c r="I519" s="74" t="n">
        <x:v>223.21</x:v>
      </x:c>
      <x:c r="J519" s="74" t="n">
        <x:v>8546.81</x:v>
      </x:c>
      <x:c r="K519" s="74" t="n">
        <x:v>12150.800000000001</x:v>
      </x:c>
      <x:c r="L519" s="74" t="n">
        <x:v>3603.9900000000016</x:v>
      </x:c>
    </x:row>
    <x:row r="520">
      <x:c r="A520" s="65" t="str">
        <x:v>TX-1534</x:v>
      </x:c>
      <x:c r="B520" s="65" t="str">
        <x:v>2026-04-16</x:v>
      </x:c>
      <x:c r="C520" s="65" t="str">
        <x:v>Operacoes</x:v>
      </x:c>
      <x:c r="D520" s="65" t="str">
        <x:v>Parceiros</x:v>
      </x:c>
      <x:c r="E520" s="65" t="str">
        <x:v>Sul</x:v>
      </x:c>
      <x:c r="F520" s="65" t="str">
        <x:v>Evo Saude</x:v>
      </x:c>
      <x:c r="G520" s="65" t="str">
        <x:v>Felipe</x:v>
      </x:c>
      <x:c r="H520" s="74" t="n">
        <x:v>17924.84</x:v>
      </x:c>
      <x:c r="I520" s="74" t="n">
        <x:v>1115.45</x:v>
      </x:c>
      <x:c r="J520" s="74" t="n">
        <x:v>11391.12</x:v>
      </x:c>
      <x:c r="K520" s="74" t="n">
        <x:v>16809.39</x:v>
      </x:c>
      <x:c r="L520" s="74" t="n">
        <x:v>5418.269999999999</x:v>
      </x:c>
    </x:row>
    <x:row r="521">
      <x:c r="A521" s="65" t="str">
        <x:v>TX-1504</x:v>
      </x:c>
      <x:c r="B521" s="65" t="str">
        <x:v>2026-04-16</x:v>
      </x:c>
      <x:c r="C521" s="65" t="str">
        <x:v>Tecnologia</x:v>
      </x:c>
      <x:c r="D521" s="65" t="str">
        <x:v>Digital</x:v>
      </x:c>
      <x:c r="E521" s="65" t="str">
        <x:v>Nordeste</x:v>
      </x:c>
      <x:c r="F521" s="65" t="str">
        <x:v>Evo Saude</x:v>
      </x:c>
      <x:c r="G521" s="65" t="str">
        <x:v>Diego</x:v>
      </x:c>
      <x:c r="H521" s="74" t="n">
        <x:v>18472.82</x:v>
      </x:c>
      <x:c r="I521" s="74" t="n">
        <x:v>745.12</x:v>
      </x:c>
      <x:c r="J521" s="74" t="n">
        <x:v>10784.5</x:v>
      </x:c>
      <x:c r="K521" s="74" t="n">
        <x:v>17727.7</x:v>
      </x:c>
      <x:c r="L521" s="74" t="n">
        <x:v>6943.200000000001</x:v>
      </x:c>
    </x:row>
    <x:row r="522">
      <x:c r="A522" s="65" t="str">
        <x:v>TX-1495</x:v>
      </x:c>
      <x:c r="B522" s="65" t="str">
        <x:v>2026-04-17</x:v>
      </x:c>
      <x:c r="C522" s="65" t="str">
        <x:v>Tecnologia</x:v>
      </x:c>
      <x:c r="D522" s="65" t="str">
        <x:v>Parceiros</x:v>
      </x:c>
      <x:c r="E522" s="65" t="str">
        <x:v>Sudeste</x:v>
      </x:c>
      <x:c r="F522" s="65" t="str">
        <x:v>Evo Saude</x:v>
      </x:c>
      <x:c r="G522" s="65" t="str">
        <x:v>Ana</x:v>
      </x:c>
      <x:c r="H522" s="74" t="n">
        <x:v>19417.9</x:v>
      </x:c>
      <x:c r="I522" s="74" t="n">
        <x:v>346.58</x:v>
      </x:c>
      <x:c r="J522" s="74" t="n">
        <x:v>11949.84</x:v>
      </x:c>
      <x:c r="K522" s="74" t="n">
        <x:v>19071.32</x:v>
      </x:c>
      <x:c r="L522" s="74" t="n">
        <x:v>7121.48</x:v>
      </x:c>
    </x:row>
    <x:row r="523">
      <x:c r="A523" s="65" t="str">
        <x:v>TX-1521</x:v>
      </x:c>
      <x:c r="B523" s="65" t="str">
        <x:v>2026-04-17</x:v>
      </x:c>
      <x:c r="C523" s="65" t="str">
        <x:v>Comercial</x:v>
      </x:c>
      <x:c r="D523" s="65" t="str">
        <x:v>Direto</x:v>
      </x:c>
      <x:c r="E523" s="65" t="str">
        <x:v>Centro-Oeste</x:v>
      </x:c>
      <x:c r="F523" s="65" t="str">
        <x:v>Gama Servicos</x:v>
      </x:c>
      <x:c r="G523" s="65" t="str">
        <x:v>Elisa</x:v>
      </x:c>
      <x:c r="H523" s="74" t="n">
        <x:v>27860.39</x:v>
      </x:c>
      <x:c r="I523" s="74" t="n">
        <x:v>1299.4</x:v>
      </x:c>
      <x:c r="J523" s="74" t="n">
        <x:v>14485.54</x:v>
      </x:c>
      <x:c r="K523" s="74" t="n">
        <x:v>26560.989999999998</x:v>
      </x:c>
      <x:c r="L523" s="74" t="n">
        <x:v>12075.449999999997</x:v>
      </x:c>
    </x:row>
    <x:row r="524">
      <x:c r="A524" s="65" t="str">
        <x:v>TX-1503</x:v>
      </x:c>
      <x:c r="B524" s="65" t="str">
        <x:v>2026-04-17</x:v>
      </x:c>
      <x:c r="C524" s="65" t="str">
        <x:v>Comercial</x:v>
      </x:c>
      <x:c r="D524" s="65" t="str">
        <x:v>Digital</x:v>
      </x:c>
      <x:c r="E524" s="65" t="str">
        <x:v>Nordeste</x:v>
      </x:c>
      <x:c r="F524" s="65" t="str">
        <x:v>Alfa Industria</x:v>
      </x:c>
      <x:c r="G524" s="65" t="str">
        <x:v>Diego</x:v>
      </x:c>
      <x:c r="H524" s="74" t="n">
        <x:v>25619.71</x:v>
      </x:c>
      <x:c r="I524" s="74" t="n">
        <x:v>425.19</x:v>
      </x:c>
      <x:c r="J524" s="74" t="n">
        <x:v>14454.31</x:v>
      </x:c>
      <x:c r="K524" s="74" t="n">
        <x:v>25194.52</x:v>
      </x:c>
      <x:c r="L524" s="74" t="n">
        <x:v>10740.210000000001</x:v>
      </x:c>
    </x:row>
    <x:row r="525">
      <x:c r="A525" s="65" t="str">
        <x:v>TX-1537</x:v>
      </x:c>
      <x:c r="B525" s="65" t="str">
        <x:v>2026-04-18</x:v>
      </x:c>
      <x:c r="C525" s="65" t="str">
        <x:v>Tecnologia</x:v>
      </x:c>
      <x:c r="D525" s="65" t="str">
        <x:v>Parceiros</x:v>
      </x:c>
      <x:c r="E525" s="65" t="str">
        <x:v>Sul</x:v>
      </x:c>
      <x:c r="F525" s="65" t="str">
        <x:v>Evo Saude</x:v>
      </x:c>
      <x:c r="G525" s="65" t="str">
        <x:v>Felipe</x:v>
      </x:c>
      <x:c r="H525" s="74" t="n">
        <x:v>33063.4</x:v>
      </x:c>
      <x:c r="I525" s="74" t="n">
        <x:v>2205.18</x:v>
      </x:c>
      <x:c r="J525" s="74" t="n">
        <x:v>18838.3</x:v>
      </x:c>
      <x:c r="K525" s="74" t="n">
        <x:v>30858.22</x:v>
      </x:c>
      <x:c r="L525" s="74" t="n">
        <x:v>12019.920000000002</x:v>
      </x:c>
    </x:row>
    <x:row r="526">
      <x:c r="A526" s="65" t="str">
        <x:v>TX-1510</x:v>
      </x:c>
      <x:c r="B526" s="65" t="str">
        <x:v>2026-04-18</x:v>
      </x:c>
      <x:c r="C526" s="65" t="str">
        <x:v>Tecnologia</x:v>
      </x:c>
      <x:c r="D526" s="65" t="str">
        <x:v>Direto</x:v>
      </x:c>
      <x:c r="E526" s="65" t="str">
        <x:v>Sudeste</x:v>
      </x:c>
      <x:c r="F526" s="65" t="str">
        <x:v>Beta Logistica</x:v>
      </x:c>
      <x:c r="G526" s="65" t="str">
        <x:v>Carla</x:v>
      </x:c>
      <x:c r="H526" s="74" t="n">
        <x:v>17028.88</x:v>
      </x:c>
      <x:c r="I526" s="74" t="n">
        <x:v>1295.73</x:v>
      </x:c>
      <x:c r="J526" s="74" t="n">
        <x:v>9900.23</x:v>
      </x:c>
      <x:c r="K526" s="74" t="n">
        <x:v>15733.150000000001</x:v>
      </x:c>
      <x:c r="L526" s="74" t="n">
        <x:v>5832.920000000002</x:v>
      </x:c>
    </x:row>
    <x:row r="527">
      <x:c r="A527" s="65" t="str">
        <x:v>TX-1496</x:v>
      </x:c>
      <x:c r="B527" s="65" t="str">
        <x:v>2026-04-18</x:v>
      </x:c>
      <x:c r="C527" s="65" t="str">
        <x:v>Comercial</x:v>
      </x:c>
      <x:c r="D527" s="65" t="str">
        <x:v>Direto</x:v>
      </x:c>
      <x:c r="E527" s="65" t="str">
        <x:v>Nordeste</x:v>
      </x:c>
      <x:c r="F527" s="65" t="str">
        <x:v>Horizonte Tech</x:v>
      </x:c>
      <x:c r="G527" s="65" t="str">
        <x:v>Felipe</x:v>
      </x:c>
      <x:c r="H527" s="74" t="n">
        <x:v>26479.33</x:v>
      </x:c>
      <x:c r="I527" s="74" t="n">
        <x:v>792.81</x:v>
      </x:c>
      <x:c r="J527" s="74" t="n">
        <x:v>13949.95</x:v>
      </x:c>
      <x:c r="K527" s="74" t="n">
        <x:v>25686.52</x:v>
      </x:c>
      <x:c r="L527" s="74" t="n">
        <x:v>11736.57</x:v>
      </x:c>
    </x:row>
    <x:row r="528">
      <x:c r="A528" s="65" t="str">
        <x:v>TX-1493</x:v>
      </x:c>
      <x:c r="B528" s="65" t="str">
        <x:v>2026-04-19</x:v>
      </x:c>
      <x:c r="C528" s="65" t="str">
        <x:v>Tecnologia</x:v>
      </x:c>
      <x:c r="D528" s="65" t="str">
        <x:v>Digital</x:v>
      </x:c>
      <x:c r="E528" s="65" t="str">
        <x:v>Sul</x:v>
      </x:c>
      <x:c r="F528" s="65" t="str">
        <x:v>Evo Saude</x:v>
      </x:c>
      <x:c r="G528" s="65" t="str">
        <x:v>Elisa</x:v>
      </x:c>
      <x:c r="H528" s="74" t="n">
        <x:v>21503.89</x:v>
      </x:c>
      <x:c r="I528" s="74" t="n">
        <x:v>637.4</x:v>
      </x:c>
      <x:c r="J528" s="74" t="n">
        <x:v>13144.73</x:v>
      </x:c>
      <x:c r="K528" s="74" t="n">
        <x:v>20866.489999999998</x:v>
      </x:c>
      <x:c r="L528" s="74" t="n">
        <x:v>7721.759999999998</x:v>
      </x:c>
    </x:row>
    <x:row r="529">
      <x:c r="A529" s="65" t="str">
        <x:v>TX-1520</x:v>
      </x:c>
      <x:c r="B529" s="65" t="str">
        <x:v>2026-04-19</x:v>
      </x:c>
      <x:c r="C529" s="65" t="str">
        <x:v>Comercial</x:v>
      </x:c>
      <x:c r="D529" s="65" t="str">
        <x:v>Direto</x:v>
      </x:c>
      <x:c r="E529" s="65" t="str">
        <x:v>Sudeste</x:v>
      </x:c>
      <x:c r="F529" s="65" t="str">
        <x:v>Foco Energia</x:v>
      </x:c>
      <x:c r="G529" s="65" t="str">
        <x:v>Carla</x:v>
      </x:c>
      <x:c r="H529" s="74" t="n">
        <x:v>21856.02</x:v>
      </x:c>
      <x:c r="I529" s="74" t="n">
        <x:v>1636.69</x:v>
      </x:c>
      <x:c r="J529" s="74" t="n">
        <x:v>10931.64</x:v>
      </x:c>
      <x:c r="K529" s="74" t="n">
        <x:v>20219.33</x:v>
      </x:c>
      <x:c r="L529" s="74" t="n">
        <x:v>9287.690000000002</x:v>
      </x:c>
    </x:row>
    <x:row r="530">
      <x:c r="A530" s="65" t="str">
        <x:v>TX-1531</x:v>
      </x:c>
      <x:c r="B530" s="65" t="str">
        <x:v>2026-04-20</x:v>
      </x:c>
      <x:c r="C530" s="65" t="str">
        <x:v>Operacoes</x:v>
      </x:c>
      <x:c r="D530" s="65" t="str">
        <x:v>Digital</x:v>
      </x:c>
      <x:c r="E530" s="65" t="str">
        <x:v>Sul</x:v>
      </x:c>
      <x:c r="F530" s="65" t="str">
        <x:v>Evo Saude</x:v>
      </x:c>
      <x:c r="G530" s="65" t="str">
        <x:v>Carla</x:v>
      </x:c>
      <x:c r="H530" s="74" t="n">
        <x:v>17377.08</x:v>
      </x:c>
      <x:c r="I530" s="74" t="n">
        <x:v>551.29</x:v>
      </x:c>
      <x:c r="J530" s="74" t="n">
        <x:v>12336.08</x:v>
      </x:c>
      <x:c r="K530" s="74" t="n">
        <x:v>16825.79</x:v>
      </x:c>
      <x:c r="L530" s="74" t="n">
        <x:v>4489.710000000001</x:v>
      </x:c>
    </x:row>
    <x:row r="531">
      <x:c r="A531" s="65" t="str">
        <x:v>TX-1522</x:v>
      </x:c>
      <x:c r="B531" s="65" t="str">
        <x:v>2026-04-20</x:v>
      </x:c>
      <x:c r="C531" s="65" t="str">
        <x:v>Tecnologia</x:v>
      </x:c>
      <x:c r="D531" s="65" t="str">
        <x:v>Parceiros</x:v>
      </x:c>
      <x:c r="E531" s="65" t="str">
        <x:v>Centro-Oeste</x:v>
      </x:c>
      <x:c r="F531" s="65" t="str">
        <x:v>Beta Logistica</x:v>
      </x:c>
      <x:c r="G531" s="65" t="str">
        <x:v>Diego</x:v>
      </x:c>
      <x:c r="H531" s="74" t="n">
        <x:v>22440.67</x:v>
      </x:c>
      <x:c r="I531" s="74" t="n">
        <x:v>1019.22</x:v>
      </x:c>
      <x:c r="J531" s="74" t="n">
        <x:v>14291.09</x:v>
      </x:c>
      <x:c r="K531" s="74" t="n">
        <x:v>21421.449999999997</x:v>
      </x:c>
      <x:c r="L531" s="74" t="n">
        <x:v>7130.359999999997</x:v>
      </x:c>
    </x:row>
    <x:row r="532">
      <x:c r="A532" s="65" t="str">
        <x:v>TX-1508</x:v>
      </x:c>
      <x:c r="B532" s="65" t="str">
        <x:v>2026-04-20</x:v>
      </x:c>
      <x:c r="C532" s="65" t="str">
        <x:v>Comercial</x:v>
      </x:c>
      <x:c r="D532" s="65" t="str">
        <x:v>Direto</x:v>
      </x:c>
      <x:c r="E532" s="65" t="str">
        <x:v>Sul</x:v>
      </x:c>
      <x:c r="F532" s="65" t="str">
        <x:v>Alfa Industria</x:v>
      </x:c>
      <x:c r="G532" s="65" t="str">
        <x:v>Felipe</x:v>
      </x:c>
      <x:c r="H532" s="74" t="n">
        <x:v>20025.94</x:v>
      </x:c>
      <x:c r="I532" s="74" t="n">
        <x:v>342.94</x:v>
      </x:c>
      <x:c r="J532" s="74" t="n">
        <x:v>11442.07</x:v>
      </x:c>
      <x:c r="K532" s="74" t="n">
        <x:v>19683</x:v>
      </x:c>
      <x:c r="L532" s="74" t="n">
        <x:v>8240.93</x:v>
      </x:c>
    </x:row>
    <x:row r="533">
      <x:c r="A533" s="65" t="str">
        <x:v>TX-1501</x:v>
      </x:c>
      <x:c r="B533" s="65" t="str">
        <x:v>2026-04-20</x:v>
      </x:c>
      <x:c r="C533" s="65" t="str">
        <x:v>Marketing</x:v>
      </x:c>
      <x:c r="D533" s="65" t="str">
        <x:v>Direto</x:v>
      </x:c>
      <x:c r="E533" s="65" t="str">
        <x:v>Nordeste</x:v>
      </x:c>
      <x:c r="F533" s="65" t="str">
        <x:v>Foco Energia</x:v>
      </x:c>
      <x:c r="G533" s="65" t="str">
        <x:v>Elisa</x:v>
      </x:c>
      <x:c r="H533" s="74" t="n">
        <x:v>15421.25</x:v>
      </x:c>
      <x:c r="I533" s="74" t="n">
        <x:v>1190.18</x:v>
      </x:c>
      <x:c r="J533" s="74" t="n">
        <x:v>10851.82</x:v>
      </x:c>
      <x:c r="K533" s="74" t="n">
        <x:v>14231.07</x:v>
      </x:c>
      <x:c r="L533" s="74" t="n">
        <x:v>3379.25</x:v>
      </x:c>
    </x:row>
    <x:row r="534">
      <x:c r="A534" s="65" t="str">
        <x:v>TX-1532</x:v>
      </x:c>
      <x:c r="B534" s="65" t="str">
        <x:v>2026-04-21</x:v>
      </x:c>
      <x:c r="C534" s="65" t="str">
        <x:v>Tecnologia</x:v>
      </x:c>
      <x:c r="D534" s="65" t="str">
        <x:v>Digital</x:v>
      </x:c>
      <x:c r="E534" s="65" t="str">
        <x:v>Sul</x:v>
      </x:c>
      <x:c r="F534" s="65" t="str">
        <x:v>Horizonte Tech</x:v>
      </x:c>
      <x:c r="G534" s="65" t="str">
        <x:v>Bruno</x:v>
      </x:c>
      <x:c r="H534" s="74" t="n">
        <x:v>24652.65</x:v>
      </x:c>
      <x:c r="I534" s="74" t="n">
        <x:v>1200.26</x:v>
      </x:c>
      <x:c r="J534" s="74" t="n">
        <x:v>14693.06</x:v>
      </x:c>
      <x:c r="K534" s="74" t="n">
        <x:v>23452.390000000003</x:v>
      </x:c>
      <x:c r="L534" s="74" t="n">
        <x:v>8759.330000000004</x:v>
      </x:c>
    </x:row>
    <x:row r="535">
      <x:c r="A535" s="65" t="str">
        <x:v>TX-1487</x:v>
      </x:c>
      <x:c r="B535" s="65" t="str">
        <x:v>2026-04-22</x:v>
      </x:c>
      <x:c r="C535" s="65" t="str">
        <x:v>Tecnologia</x:v>
      </x:c>
      <x:c r="D535" s="65" t="str">
        <x:v>Digital</x:v>
      </x:c>
      <x:c r="E535" s="65" t="str">
        <x:v>Sul</x:v>
      </x:c>
      <x:c r="F535" s="65" t="str">
        <x:v>Gama Servicos</x:v>
      </x:c>
      <x:c r="G535" s="65" t="str">
        <x:v>Carla</x:v>
      </x:c>
      <x:c r="H535" s="74" t="n">
        <x:v>22099.78</x:v>
      </x:c>
      <x:c r="I535" s="74" t="n">
        <x:v>1005.68</x:v>
      </x:c>
      <x:c r="J535" s="74" t="n">
        <x:v>12678.42</x:v>
      </x:c>
      <x:c r="K535" s="74" t="n">
        <x:v>21094.1</x:v>
      </x:c>
      <x:c r="L535" s="74" t="n">
        <x:v>8415.679999999998</x:v>
      </x:c>
    </x:row>
    <x:row r="536">
      <x:c r="A536" s="65" t="str">
        <x:v>TX-1538</x:v>
      </x:c>
      <x:c r="B536" s="65" t="str">
        <x:v>2026-04-23</x:v>
      </x:c>
      <x:c r="C536" s="65" t="str">
        <x:v>Operacoes</x:v>
      </x:c>
      <x:c r="D536" s="65" t="str">
        <x:v>Digital</x:v>
      </x:c>
      <x:c r="E536" s="65" t="str">
        <x:v>Centro-Oeste</x:v>
      </x:c>
      <x:c r="F536" s="65" t="str">
        <x:v>Evo Saude</x:v>
      </x:c>
      <x:c r="G536" s="65" t="str">
        <x:v>Felipe</x:v>
      </x:c>
      <x:c r="H536" s="74" t="n">
        <x:v>13219.04</x:v>
      </x:c>
      <x:c r="I536" s="74" t="n">
        <x:v>1030.93</x:v>
      </x:c>
      <x:c r="J536" s="74" t="n">
        <x:v>8513.67</x:v>
      </x:c>
      <x:c r="K536" s="74" t="n">
        <x:v>12188.11</x:v>
      </x:c>
      <x:c r="L536" s="74" t="n">
        <x:v>3674.4400000000005</x:v>
      </x:c>
    </x:row>
    <x:row r="537">
      <x:c r="A537" s="65" t="str">
        <x:v>TX-1491</x:v>
      </x:c>
      <x:c r="B537" s="65" t="str">
        <x:v>2026-04-23</x:v>
      </x:c>
      <x:c r="C537" s="65" t="str">
        <x:v>Operacoes</x:v>
      </x:c>
      <x:c r="D537" s="65" t="str">
        <x:v>Direto</x:v>
      </x:c>
      <x:c r="E537" s="65" t="str">
        <x:v>Sudeste</x:v>
      </x:c>
      <x:c r="F537" s="65" t="str">
        <x:v>Beta Logistica</x:v>
      </x:c>
      <x:c r="G537" s="65" t="str">
        <x:v>Ana</x:v>
      </x:c>
      <x:c r="H537" s="74" t="n">
        <x:v>21858.24</x:v>
      </x:c>
      <x:c r="I537" s="74" t="n">
        <x:v>856.17</x:v>
      </x:c>
      <x:c r="J537" s="74" t="n">
        <x:v>14464.21</x:v>
      </x:c>
      <x:c r="K537" s="74" t="n">
        <x:v>21002.070000000003</x:v>
      </x:c>
      <x:c r="L537" s="74" t="n">
        <x:v>6537.860000000004</x:v>
      </x:c>
    </x:row>
    <x:row r="538">
      <x:c r="A538" s="65" t="str">
        <x:v>TX-1506</x:v>
      </x:c>
      <x:c r="B538" s="65" t="str">
        <x:v>2026-04-24</x:v>
      </x:c>
      <x:c r="C538" s="65" t="str">
        <x:v>Marketing</x:v>
      </x:c>
      <x:c r="D538" s="65" t="str">
        <x:v>Direto</x:v>
      </x:c>
      <x:c r="E538" s="65" t="str">
        <x:v>Sudeste</x:v>
      </x:c>
      <x:c r="F538" s="65" t="str">
        <x:v>Alfa Industria</x:v>
      </x:c>
      <x:c r="G538" s="65" t="str">
        <x:v>Carla</x:v>
      </x:c>
      <x:c r="H538" s="74" t="n">
        <x:v>12385.91</x:v>
      </x:c>
      <x:c r="I538" s="74" t="n">
        <x:v>345.76</x:v>
      </x:c>
      <x:c r="J538" s="74" t="n">
        <x:v>8604.02</x:v>
      </x:c>
      <x:c r="K538" s="74" t="n">
        <x:v>12040.15</x:v>
      </x:c>
      <x:c r="L538" s="74" t="n">
        <x:v>3436.129999999999</x:v>
      </x:c>
    </x:row>
    <x:row r="539">
      <x:c r="A539" s="65" t="str">
        <x:v>TX-1533</x:v>
      </x:c>
      <x:c r="B539" s="65" t="str">
        <x:v>2026-04-24</x:v>
      </x:c>
      <x:c r="C539" s="65" t="str">
        <x:v>Tecnologia</x:v>
      </x:c>
      <x:c r="D539" s="65" t="str">
        <x:v>Digital</x:v>
      </x:c>
      <x:c r="E539" s="65" t="str">
        <x:v>Nordeste</x:v>
      </x:c>
      <x:c r="F539" s="65" t="str">
        <x:v>Evo Saude</x:v>
      </x:c>
      <x:c r="G539" s="65" t="str">
        <x:v>Elisa</x:v>
      </x:c>
      <x:c r="H539" s="74" t="n">
        <x:v>19658.92</x:v>
      </x:c>
      <x:c r="I539" s="74" t="n">
        <x:v>1167.09</x:v>
      </x:c>
      <x:c r="J539" s="74" t="n">
        <x:v>12165.63</x:v>
      </x:c>
      <x:c r="K539" s="74" t="n">
        <x:v>18491.829999999998</x:v>
      </x:c>
      <x:c r="L539" s="74" t="n">
        <x:v>6326.199999999999</x:v>
      </x:c>
    </x:row>
    <x:row r="540">
      <x:c r="A540" s="65" t="str">
        <x:v>TX-1494</x:v>
      </x:c>
      <x:c r="B540" s="65" t="str">
        <x:v>2026-04-25</x:v>
      </x:c>
      <x:c r="C540" s="65" t="str">
        <x:v>Operacoes</x:v>
      </x:c>
      <x:c r="D540" s="65" t="str">
        <x:v>Digital</x:v>
      </x:c>
      <x:c r="E540" s="65" t="str">
        <x:v>Sul</x:v>
      </x:c>
      <x:c r="F540" s="65" t="str">
        <x:v>Beta Logistica</x:v>
      </x:c>
      <x:c r="G540" s="65" t="str">
        <x:v>Bruno</x:v>
      </x:c>
      <x:c r="H540" s="74" t="n">
        <x:v>26069.79</x:v>
      </x:c>
      <x:c r="I540" s="74" t="n">
        <x:v>514.37</x:v>
      </x:c>
      <x:c r="J540" s="74" t="n">
        <x:v>17460.43</x:v>
      </x:c>
      <x:c r="K540" s="74" t="n">
        <x:v>25555.420000000002</x:v>
      </x:c>
      <x:c r="L540" s="74" t="n">
        <x:v>8094.990000000002</x:v>
      </x:c>
    </x:row>
    <x:row r="541">
      <x:c r="A541" s="65" t="str">
        <x:v>TX-1492</x:v>
      </x:c>
      <x:c r="B541" s="65" t="str">
        <x:v>2026-04-25</x:v>
      </x:c>
      <x:c r="C541" s="65" t="str">
        <x:v>Comercial</x:v>
      </x:c>
      <x:c r="D541" s="65" t="str">
        <x:v>Parceiros</x:v>
      </x:c>
      <x:c r="E541" s="65" t="str">
        <x:v>Nordeste</x:v>
      </x:c>
      <x:c r="F541" s="65" t="str">
        <x:v>Beta Logistica</x:v>
      </x:c>
      <x:c r="G541" s="65" t="str">
        <x:v>Felipe</x:v>
      </x:c>
      <x:c r="H541" s="74" t="n">
        <x:v>29211.94</x:v>
      </x:c>
      <x:c r="I541" s="74" t="n">
        <x:v>1726.1</x:v>
      </x:c>
      <x:c r="J541" s="74" t="n">
        <x:v>15022.77</x:v>
      </x:c>
      <x:c r="K541" s="74" t="n">
        <x:v>27485.84</x:v>
      </x:c>
      <x:c r="L541" s="74" t="n">
        <x:v>12463.07</x:v>
      </x:c>
    </x:row>
    <x:row r="542">
      <x:c r="A542" s="65" t="str">
        <x:v>TX-1592</x:v>
      </x:c>
      <x:c r="B542" s="65" t="str">
        <x:v>2026-05-01</x:v>
      </x:c>
      <x:c r="C542" s="65" t="str">
        <x:v>Tecnologia</x:v>
      </x:c>
      <x:c r="D542" s="65" t="str">
        <x:v>Direto</x:v>
      </x:c>
      <x:c r="E542" s="65" t="str">
        <x:v>Sudeste</x:v>
      </x:c>
      <x:c r="F542" s="65" t="str">
        <x:v>Evo Saude</x:v>
      </x:c>
      <x:c r="G542" s="65" t="str">
        <x:v>Elisa</x:v>
      </x:c>
      <x:c r="H542" s="74" t="n">
        <x:v>19156.98</x:v>
      </x:c>
      <x:c r="I542" s="74" t="n">
        <x:v>626.22</x:v>
      </x:c>
      <x:c r="J542" s="74" t="n">
        <x:v>11276.01</x:v>
      </x:c>
      <x:c r="K542" s="74" t="n">
        <x:v>18530.76</x:v>
      </x:c>
      <x:c r="L542" s="74" t="n">
        <x:v>7254.749999999998</x:v>
      </x:c>
    </x:row>
    <x:row r="543">
      <x:c r="A543" s="65" t="str">
        <x:v>TX-1546</x:v>
      </x:c>
      <x:c r="B543" s="65" t="str">
        <x:v>2026-05-01</x:v>
      </x:c>
      <x:c r="C543" s="65" t="str">
        <x:v>Comercial</x:v>
      </x:c>
      <x:c r="D543" s="65" t="str">
        <x:v>Parceiros</x:v>
      </x:c>
      <x:c r="E543" s="65" t="str">
        <x:v>Nordeste</x:v>
      </x:c>
      <x:c r="F543" s="65" t="str">
        <x:v>Gama Servicos</x:v>
      </x:c>
      <x:c r="G543" s="65" t="str">
        <x:v>Bruno</x:v>
      </x:c>
      <x:c r="H543" s="74" t="n">
        <x:v>28484.06</x:v>
      </x:c>
      <x:c r="I543" s="74" t="n">
        <x:v>1904.25</x:v>
      </x:c>
      <x:c r="J543" s="74" t="n">
        <x:v>14303.7</x:v>
      </x:c>
      <x:c r="K543" s="74" t="n">
        <x:v>26579.81</x:v>
      </x:c>
      <x:c r="L543" s="74" t="n">
        <x:v>12276.11</x:v>
      </x:c>
    </x:row>
    <x:row r="544">
      <x:c r="A544" s="65" t="str">
        <x:v>TX-1583</x:v>
      </x:c>
      <x:c r="B544" s="65" t="str">
        <x:v>2026-05-01</x:v>
      </x:c>
      <x:c r="C544" s="65" t="str">
        <x:v>Comercial</x:v>
      </x:c>
      <x:c r="D544" s="65" t="str">
        <x:v>Direto</x:v>
      </x:c>
      <x:c r="E544" s="65" t="str">
        <x:v>Centro-Oeste</x:v>
      </x:c>
      <x:c r="F544" s="65" t="str">
        <x:v>Horizonte Tech</x:v>
      </x:c>
      <x:c r="G544" s="65" t="str">
        <x:v>Diego</x:v>
      </x:c>
      <x:c r="H544" s="74" t="n">
        <x:v>25847.25</x:v>
      </x:c>
      <x:c r="I544" s="74" t="n">
        <x:v>1397.59</x:v>
      </x:c>
      <x:c r="J544" s="74" t="n">
        <x:v>13266.13</x:v>
      </x:c>
      <x:c r="K544" s="74" t="n">
        <x:v>24449.66</x:v>
      </x:c>
      <x:c r="L544" s="74" t="n">
        <x:v>11183.53</x:v>
      </x:c>
    </x:row>
    <x:row r="545">
      <x:c r="A545" s="65" t="str">
        <x:v>TX-1582</x:v>
      </x:c>
      <x:c r="B545" s="65" t="str">
        <x:v>2026-05-02</x:v>
      </x:c>
      <x:c r="C545" s="65" t="str">
        <x:v>Tecnologia</x:v>
      </x:c>
      <x:c r="D545" s="65" t="str">
        <x:v>Direto</x:v>
      </x:c>
      <x:c r="E545" s="65" t="str">
        <x:v>Nordeste</x:v>
      </x:c>
      <x:c r="F545" s="65" t="str">
        <x:v>Beta Logistica</x:v>
      </x:c>
      <x:c r="G545" s="65" t="str">
        <x:v>Bruno</x:v>
      </x:c>
      <x:c r="H545" s="74" t="n">
        <x:v>22156.12</x:v>
      </x:c>
      <x:c r="I545" s="74" t="n">
        <x:v>245.73</x:v>
      </x:c>
      <x:c r="J545" s="74" t="n">
        <x:v>14012.68</x:v>
      </x:c>
      <x:c r="K545" s="74" t="n">
        <x:v>21910.39</x:v>
      </x:c>
      <x:c r="L545" s="74" t="n">
        <x:v>7897.709999999999</x:v>
      </x:c>
    </x:row>
    <x:row r="546">
      <x:c r="A546" s="65" t="str">
        <x:v>TX-1548</x:v>
      </x:c>
      <x:c r="B546" s="65" t="str">
        <x:v>2026-05-02</x:v>
      </x:c>
      <x:c r="C546" s="65" t="str">
        <x:v>Operacoes</x:v>
      </x:c>
      <x:c r="D546" s="65" t="str">
        <x:v>Digital</x:v>
      </x:c>
      <x:c r="E546" s="65" t="str">
        <x:v>Nordeste</x:v>
      </x:c>
      <x:c r="F546" s="65" t="str">
        <x:v>Gama Servicos</x:v>
      </x:c>
      <x:c r="G546" s="65" t="str">
        <x:v>Diego</x:v>
      </x:c>
      <x:c r="H546" s="74" t="n">
        <x:v>19458.67</x:v>
      </x:c>
      <x:c r="I546" s="74" t="n">
        <x:v>1209.74</x:v>
      </x:c>
      <x:c r="J546" s="74" t="n">
        <x:v>12099.35</x:v>
      </x:c>
      <x:c r="K546" s="74" t="n">
        <x:v>18248.929999999997</x:v>
      </x:c>
      <x:c r="L546" s="74" t="n">
        <x:v>6149.579999999996</x:v>
      </x:c>
    </x:row>
    <x:row r="547">
      <x:c r="A547" s="65" t="str">
        <x:v>TX-1541</x:v>
      </x:c>
      <x:c r="B547" s="65" t="str">
        <x:v>2026-05-02</x:v>
      </x:c>
      <x:c r="C547" s="65" t="str">
        <x:v>Comercial</x:v>
      </x:c>
      <x:c r="D547" s="65" t="str">
        <x:v>Direto</x:v>
      </x:c>
      <x:c r="E547" s="65" t="str">
        <x:v>Centro-Oeste</x:v>
      </x:c>
      <x:c r="F547" s="65" t="str">
        <x:v>Evo Saude</x:v>
      </x:c>
      <x:c r="G547" s="65" t="str">
        <x:v>Bruno</x:v>
      </x:c>
      <x:c r="H547" s="74" t="n">
        <x:v>18771.02</x:v>
      </x:c>
      <x:c r="I547" s="74" t="n">
        <x:v>403.7</x:v>
      </x:c>
      <x:c r="J547" s="74" t="n">
        <x:v>9394.49</x:v>
      </x:c>
      <x:c r="K547" s="74" t="n">
        <x:v>18367.32</x:v>
      </x:c>
      <x:c r="L547" s="74" t="n">
        <x:v>8972.83</x:v>
      </x:c>
    </x:row>
    <x:row r="548">
      <x:c r="A548" s="65" t="str">
        <x:v>TX-1553</x:v>
      </x:c>
      <x:c r="B548" s="65" t="str">
        <x:v>2026-05-05</x:v>
      </x:c>
      <x:c r="C548" s="65" t="str">
        <x:v>Comercial</x:v>
      </x:c>
      <x:c r="D548" s="65" t="str">
        <x:v>Direto</x:v>
      </x:c>
      <x:c r="E548" s="65" t="str">
        <x:v>Centro-Oeste</x:v>
      </x:c>
      <x:c r="F548" s="65" t="str">
        <x:v>Horizonte Tech</x:v>
      </x:c>
      <x:c r="G548" s="65" t="str">
        <x:v>Diego</x:v>
      </x:c>
      <x:c r="H548" s="74" t="n">
        <x:v>26241.95</x:v>
      </x:c>
      <x:c r="I548" s="74" t="n">
        <x:v>864.04</x:v>
      </x:c>
      <x:c r="J548" s="74" t="n">
        <x:v>15188.9</x:v>
      </x:c>
      <x:c r="K548" s="74" t="n">
        <x:v>25377.91</x:v>
      </x:c>
      <x:c r="L548" s="74" t="n">
        <x:v>10189.01</x:v>
      </x:c>
    </x:row>
    <x:row r="549">
      <x:c r="A549" s="65" t="str">
        <x:v>TX-1568</x:v>
      </x:c>
      <x:c r="B549" s="65" t="str">
        <x:v>2026-05-05</x:v>
      </x:c>
      <x:c r="C549" s="65" t="str">
        <x:v>Operacoes</x:v>
      </x:c>
      <x:c r="D549" s="65" t="str">
        <x:v>Digital</x:v>
      </x:c>
      <x:c r="E549" s="65" t="str">
        <x:v>Centro-Oeste</x:v>
      </x:c>
      <x:c r="F549" s="65" t="str">
        <x:v>Horizonte Tech</x:v>
      </x:c>
      <x:c r="G549" s="65" t="str">
        <x:v>Diego</x:v>
      </x:c>
      <x:c r="H549" s="74" t="n">
        <x:v>17232.71</x:v>
      </x:c>
      <x:c r="I549" s="74" t="n">
        <x:v>1057.98</x:v>
      </x:c>
      <x:c r="J549" s="74" t="n">
        <x:v>10735.14</x:v>
      </x:c>
      <x:c r="K549" s="74" t="n">
        <x:v>16174.73</x:v>
      </x:c>
      <x:c r="L549" s="74" t="n">
        <x:v>5439.59</x:v>
      </x:c>
    </x:row>
    <x:row r="550">
      <x:c r="A550" s="65" t="str">
        <x:v>TX-1543</x:v>
      </x:c>
      <x:c r="B550" s="65" t="str">
        <x:v>2026-05-06</x:v>
      </x:c>
      <x:c r="C550" s="65" t="str">
        <x:v>Tecnologia</x:v>
      </x:c>
      <x:c r="D550" s="65" t="str">
        <x:v>Direto</x:v>
      </x:c>
      <x:c r="E550" s="65" t="str">
        <x:v>Sudeste</x:v>
      </x:c>
      <x:c r="F550" s="65" t="str">
        <x:v>Beta Logistica</x:v>
      </x:c>
      <x:c r="G550" s="65" t="str">
        <x:v>Felipe</x:v>
      </x:c>
      <x:c r="H550" s="74" t="n">
        <x:v>17466.58</x:v>
      </x:c>
      <x:c r="I550" s="74" t="n">
        <x:v>761.64</x:v>
      </x:c>
      <x:c r="J550" s="74" t="n">
        <x:v>9495.13</x:v>
      </x:c>
      <x:c r="K550" s="74" t="n">
        <x:v>16704.940000000002</x:v>
      </x:c>
      <x:c r="L550" s="74" t="n">
        <x:v>7209.810000000003</x:v>
      </x:c>
    </x:row>
    <x:row r="551">
      <x:c r="A551" s="65" t="str">
        <x:v>TX-1555</x:v>
      </x:c>
      <x:c r="B551" s="65" t="str">
        <x:v>2026-05-07</x:v>
      </x:c>
      <x:c r="C551" s="65" t="str">
        <x:v>Tecnologia</x:v>
      </x:c>
      <x:c r="D551" s="65" t="str">
        <x:v>Digital</x:v>
      </x:c>
      <x:c r="E551" s="65" t="str">
        <x:v>Centro-Oeste</x:v>
      </x:c>
      <x:c r="F551" s="65" t="str">
        <x:v>Beta Logistica</x:v>
      </x:c>
      <x:c r="G551" s="65" t="str">
        <x:v>Elisa</x:v>
      </x:c>
      <x:c r="H551" s="74" t="n">
        <x:v>19621.15</x:v>
      </x:c>
      <x:c r="I551" s="74" t="n">
        <x:v>1114.31</x:v>
      </x:c>
      <x:c r="J551" s="74" t="n">
        <x:v>11311.38</x:v>
      </x:c>
      <x:c r="K551" s="74" t="n">
        <x:v>18506.84</x:v>
      </x:c>
      <x:c r="L551" s="74" t="n">
        <x:v>7195.460000000001</x:v>
      </x:c>
    </x:row>
    <x:row r="552">
      <x:c r="A552" s="65" t="str">
        <x:v>TX-1585</x:v>
      </x:c>
      <x:c r="B552" s="65" t="str">
        <x:v>2026-05-07</x:v>
      </x:c>
      <x:c r="C552" s="65" t="str">
        <x:v>Operacoes</x:v>
      </x:c>
      <x:c r="D552" s="65" t="str">
        <x:v>Direto</x:v>
      </x:c>
      <x:c r="E552" s="65" t="str">
        <x:v>Nordeste</x:v>
      </x:c>
      <x:c r="F552" s="65" t="str">
        <x:v>Evo Saude</x:v>
      </x:c>
      <x:c r="G552" s="65" t="str">
        <x:v>Ana</x:v>
      </x:c>
      <x:c r="H552" s="74" t="n">
        <x:v>30429.62</x:v>
      </x:c>
      <x:c r="I552" s="74" t="n">
        <x:v>1941.29</x:v>
      </x:c>
      <x:c r="J552" s="74" t="n">
        <x:v>19606.38</x:v>
      </x:c>
      <x:c r="K552" s="74" t="n">
        <x:v>28488.329999999998</x:v>
      </x:c>
      <x:c r="L552" s="74" t="n">
        <x:v>8881.949999999997</x:v>
      </x:c>
    </x:row>
    <x:row r="553">
      <x:c r="A553" s="65" t="str">
        <x:v>TX-1576</x:v>
      </x:c>
      <x:c r="B553" s="65" t="str">
        <x:v>2026-05-08</x:v>
      </x:c>
      <x:c r="C553" s="65" t="str">
        <x:v>Comercial</x:v>
      </x:c>
      <x:c r="D553" s="65" t="str">
        <x:v>Direto</x:v>
      </x:c>
      <x:c r="E553" s="65" t="str">
        <x:v>Centro-Oeste</x:v>
      </x:c>
      <x:c r="F553" s="65" t="str">
        <x:v>Alfa Industria</x:v>
      </x:c>
      <x:c r="G553" s="65" t="str">
        <x:v>Carla</x:v>
      </x:c>
      <x:c r="H553" s="74" t="n">
        <x:v>17436.16</x:v>
      </x:c>
      <x:c r="I553" s="74" t="n">
        <x:v>573.38</x:v>
      </x:c>
      <x:c r="J553" s="74" t="n">
        <x:v>8611.18</x:v>
      </x:c>
      <x:c r="K553" s="74" t="n">
        <x:v>16862.78</x:v>
      </x:c>
      <x:c r="L553" s="74" t="n">
        <x:v>8251.599999999999</x:v>
      </x:c>
    </x:row>
    <x:row r="554">
      <x:c r="A554" s="65" t="str">
        <x:v>TX-1554</x:v>
      </x:c>
      <x:c r="B554" s="65" t="str">
        <x:v>2026-05-08</x:v>
      </x:c>
      <x:c r="C554" s="65" t="str">
        <x:v>Operacoes</x:v>
      </x:c>
      <x:c r="D554" s="65" t="str">
        <x:v>Digital</x:v>
      </x:c>
      <x:c r="E554" s="65" t="str">
        <x:v>Nordeste</x:v>
      </x:c>
      <x:c r="F554" s="65" t="str">
        <x:v>Evo Saude</x:v>
      </x:c>
      <x:c r="G554" s="65" t="str">
        <x:v>Bruno</x:v>
      </x:c>
      <x:c r="H554" s="74" t="n">
        <x:v>24584.1</x:v>
      </x:c>
      <x:c r="I554" s="74" t="n">
        <x:v>520.73</x:v>
      </x:c>
      <x:c r="J554" s="74" t="n">
        <x:v>16320.23</x:v>
      </x:c>
      <x:c r="K554" s="74" t="n">
        <x:v>24063.37</x:v>
      </x:c>
      <x:c r="L554" s="74" t="n">
        <x:v>7743.139999999999</x:v>
      </x:c>
    </x:row>
    <x:row r="555">
      <x:c r="A555" s="65" t="str">
        <x:v>TX-1584</x:v>
      </x:c>
      <x:c r="B555" s="65" t="str">
        <x:v>2026-05-08</x:v>
      </x:c>
      <x:c r="C555" s="65" t="str">
        <x:v>Comercial</x:v>
      </x:c>
      <x:c r="D555" s="65" t="str">
        <x:v>Parceiros</x:v>
      </x:c>
      <x:c r="E555" s="65" t="str">
        <x:v>Centro-Oeste</x:v>
      </x:c>
      <x:c r="F555" s="65" t="str">
        <x:v>Delta Varejo</x:v>
      </x:c>
      <x:c r="G555" s="65" t="str">
        <x:v>Ana</x:v>
      </x:c>
      <x:c r="H555" s="74" t="n">
        <x:v>30050.57</x:v>
      </x:c>
      <x:c r="I555" s="74" t="n">
        <x:v>430.07</x:v>
      </x:c>
      <x:c r="J555" s="74" t="n">
        <x:v>16119.2</x:v>
      </x:c>
      <x:c r="K555" s="74" t="n">
        <x:v>29620.5</x:v>
      </x:c>
      <x:c r="L555" s="74" t="n">
        <x:v>13501.3</x:v>
      </x:c>
    </x:row>
    <x:row r="556">
      <x:c r="A556" s="65" t="str">
        <x:v>TX-1547</x:v>
      </x:c>
      <x:c r="B556" s="65" t="str">
        <x:v>2026-05-08</x:v>
      </x:c>
      <x:c r="C556" s="65" t="str">
        <x:v>Operacoes</x:v>
      </x:c>
      <x:c r="D556" s="65" t="str">
        <x:v>Direto</x:v>
      </x:c>
      <x:c r="E556" s="65" t="str">
        <x:v>Sul</x:v>
      </x:c>
      <x:c r="F556" s="65" t="str">
        <x:v>Evo Saude</x:v>
      </x:c>
      <x:c r="G556" s="65" t="str">
        <x:v>Carla</x:v>
      </x:c>
      <x:c r="H556" s="74" t="n">
        <x:v>18715.91</x:v>
      </x:c>
      <x:c r="I556" s="74" t="n">
        <x:v>589.43</x:v>
      </x:c>
      <x:c r="J556" s="74" t="n">
        <x:v>12940.18</x:v>
      </x:c>
      <x:c r="K556" s="74" t="n">
        <x:v>18126.48</x:v>
      </x:c>
      <x:c r="L556" s="74" t="n">
        <x:v>5186.299999999999</x:v>
      </x:c>
    </x:row>
    <x:row r="557">
      <x:c r="A557" s="65" t="str">
        <x:v>TX-1544</x:v>
      </x:c>
      <x:c r="B557" s="65" t="str">
        <x:v>2026-05-08</x:v>
      </x:c>
      <x:c r="C557" s="65" t="str">
        <x:v>Marketing</x:v>
      </x:c>
      <x:c r="D557" s="65" t="str">
        <x:v>Direto</x:v>
      </x:c>
      <x:c r="E557" s="65" t="str">
        <x:v>Sudeste</x:v>
      </x:c>
      <x:c r="F557" s="65" t="str">
        <x:v>Gama Servicos</x:v>
      </x:c>
      <x:c r="G557" s="65" t="str">
        <x:v>Felipe</x:v>
      </x:c>
      <x:c r="H557" s="74" t="n">
        <x:v>19665.32</x:v>
      </x:c>
      <x:c r="I557" s="74" t="n">
        <x:v>670.25</x:v>
      </x:c>
      <x:c r="J557" s="74" t="n">
        <x:v>14010.38</x:v>
      </x:c>
      <x:c r="K557" s="74" t="n">
        <x:v>18995.07</x:v>
      </x:c>
      <x:c r="L557" s="74" t="n">
        <x:v>4984.6900000000005</x:v>
      </x:c>
    </x:row>
    <x:row r="558">
      <x:c r="A558" s="65" t="str">
        <x:v>TX-1581</x:v>
      </x:c>
      <x:c r="B558" s="65" t="str">
        <x:v>2026-05-09</x:v>
      </x:c>
      <x:c r="C558" s="65" t="str">
        <x:v>Comercial</x:v>
      </x:c>
      <x:c r="D558" s="65" t="str">
        <x:v>Parceiros</x:v>
      </x:c>
      <x:c r="E558" s="65" t="str">
        <x:v>Nordeste</x:v>
      </x:c>
      <x:c r="F558" s="65" t="str">
        <x:v>Delta Varejo</x:v>
      </x:c>
      <x:c r="G558" s="65" t="str">
        <x:v>Elisa</x:v>
      </x:c>
      <x:c r="H558" s="74" t="n">
        <x:v>24101.43</x:v>
      </x:c>
      <x:c r="I558" s="74" t="n">
        <x:v>1189.72</x:v>
      </x:c>
      <x:c r="J558" s="74" t="n">
        <x:v>12911.92</x:v>
      </x:c>
      <x:c r="K558" s="74" t="n">
        <x:v>22911.71</x:v>
      </x:c>
      <x:c r="L558" s="74" t="n">
        <x:v>9999.789999999999</x:v>
      </x:c>
    </x:row>
    <x:row r="559">
      <x:c r="A559" s="65" t="str">
        <x:v>TX-1559</x:v>
      </x:c>
      <x:c r="B559" s="65" t="str">
        <x:v>2026-05-10</x:v>
      </x:c>
      <x:c r="C559" s="65" t="str">
        <x:v>Comercial</x:v>
      </x:c>
      <x:c r="D559" s="65" t="str">
        <x:v>Digital</x:v>
      </x:c>
      <x:c r="E559" s="65" t="str">
        <x:v>Sul</x:v>
      </x:c>
      <x:c r="F559" s="65" t="str">
        <x:v>Evo Saude</x:v>
      </x:c>
      <x:c r="G559" s="65" t="str">
        <x:v>Bruno</x:v>
      </x:c>
      <x:c r="H559" s="74" t="n">
        <x:v>31151.06</x:v>
      </x:c>
      <x:c r="I559" s="74" t="n">
        <x:v>959.86</x:v>
      </x:c>
      <x:c r="J559" s="74" t="n">
        <x:v>17805.52</x:v>
      </x:c>
      <x:c r="K559" s="74" t="n">
        <x:v>30191.2</x:v>
      </x:c>
      <x:c r="L559" s="74" t="n">
        <x:v>12385.68</x:v>
      </x:c>
    </x:row>
    <x:row r="560">
      <x:c r="A560" s="65" t="str">
        <x:v>TX-1540</x:v>
      </x:c>
      <x:c r="B560" s="65" t="str">
        <x:v>2026-05-10</x:v>
      </x:c>
      <x:c r="C560" s="65" t="str">
        <x:v>Tecnologia</x:v>
      </x:c>
      <x:c r="D560" s="65" t="str">
        <x:v>Digital</x:v>
      </x:c>
      <x:c r="E560" s="65" t="str">
        <x:v>Centro-Oeste</x:v>
      </x:c>
      <x:c r="F560" s="65" t="str">
        <x:v>Delta Varejo</x:v>
      </x:c>
      <x:c r="G560" s="65" t="str">
        <x:v>Carla</x:v>
      </x:c>
      <x:c r="H560" s="74" t="n">
        <x:v>21295.92</x:v>
      </x:c>
      <x:c r="I560" s="74" t="n">
        <x:v>374.83</x:v>
      </x:c>
      <x:c r="J560" s="74" t="n">
        <x:v>13143.11</x:v>
      </x:c>
      <x:c r="K560" s="74" t="n">
        <x:v>20921.089999999997</x:v>
      </x:c>
      <x:c r="L560" s="74" t="n">
        <x:v>7777.979999999996</x:v>
      </x:c>
    </x:row>
    <x:row r="561">
      <x:c r="A561" s="65" t="str">
        <x:v>TX-1549</x:v>
      </x:c>
      <x:c r="B561" s="65" t="str">
        <x:v>2026-05-11</x:v>
      </x:c>
      <x:c r="C561" s="65" t="str">
        <x:v>Operacoes</x:v>
      </x:c>
      <x:c r="D561" s="65" t="str">
        <x:v>Direto</x:v>
      </x:c>
      <x:c r="E561" s="65" t="str">
        <x:v>Sul</x:v>
      </x:c>
      <x:c r="F561" s="65" t="str">
        <x:v>Foco Energia</x:v>
      </x:c>
      <x:c r="G561" s="65" t="str">
        <x:v>Elisa</x:v>
      </x:c>
      <x:c r="H561" s="74" t="n">
        <x:v>22033.7</x:v>
      </x:c>
      <x:c r="I561" s="74" t="n">
        <x:v>1455.32</x:v>
      </x:c>
      <x:c r="J561" s="74" t="n">
        <x:v>14115.98</x:v>
      </x:c>
      <x:c r="K561" s="74" t="n">
        <x:v>20578.38</x:v>
      </x:c>
      <x:c r="L561" s="74" t="n">
        <x:v>6462.4000000000015</x:v>
      </x:c>
    </x:row>
    <x:row r="562">
      <x:c r="A562" s="65" t="str">
        <x:v>TX-1573</x:v>
      </x:c>
      <x:c r="B562" s="65" t="str">
        <x:v>2026-05-12</x:v>
      </x:c>
      <x:c r="C562" s="65" t="str">
        <x:v>Comercial</x:v>
      </x:c>
      <x:c r="D562" s="65" t="str">
        <x:v>Direto</x:v>
      </x:c>
      <x:c r="E562" s="65" t="str">
        <x:v>Sudeste</x:v>
      </x:c>
      <x:c r="F562" s="65" t="str">
        <x:v>Alfa Industria</x:v>
      </x:c>
      <x:c r="G562" s="65" t="str">
        <x:v>Elisa</x:v>
      </x:c>
      <x:c r="H562" s="74" t="n">
        <x:v>27148.51</x:v>
      </x:c>
      <x:c r="I562" s="74" t="n">
        <x:v>1899.17</x:v>
      </x:c>
      <x:c r="J562" s="74" t="n">
        <x:v>14286.61</x:v>
      </x:c>
      <x:c r="K562" s="74" t="n">
        <x:v>25249.339999999997</x:v>
      </x:c>
      <x:c r="L562" s="74" t="n">
        <x:v>10962.729999999996</x:v>
      </x:c>
    </x:row>
    <x:row r="563">
      <x:c r="A563" s="65" t="str">
        <x:v>TX-1572</x:v>
      </x:c>
      <x:c r="B563" s="65" t="str">
        <x:v>2026-05-12</x:v>
      </x:c>
      <x:c r="C563" s="65" t="str">
        <x:v>Tecnologia</x:v>
      </x:c>
      <x:c r="D563" s="65" t="str">
        <x:v>Digital</x:v>
      </x:c>
      <x:c r="E563" s="65" t="str">
        <x:v>Centro-Oeste</x:v>
      </x:c>
      <x:c r="F563" s="65" t="str">
        <x:v>Gama Servicos</x:v>
      </x:c>
      <x:c r="G563" s="65" t="str">
        <x:v>Elisa</x:v>
      </x:c>
      <x:c r="H563" s="74" t="n">
        <x:v>21221.4</x:v>
      </x:c>
      <x:c r="I563" s="74" t="n">
        <x:v>1660.52</x:v>
      </x:c>
      <x:c r="J563" s="74" t="n">
        <x:v>12102.49</x:v>
      </x:c>
      <x:c r="K563" s="74" t="n">
        <x:v>19560.88</x:v>
      </x:c>
      <x:c r="L563" s="74" t="n">
        <x:v>7458.390000000001</x:v>
      </x:c>
    </x:row>
    <x:row r="564">
      <x:c r="A564" s="65" t="str">
        <x:v>TX-1590</x:v>
      </x:c>
      <x:c r="B564" s="65" t="str">
        <x:v>2026-05-12</x:v>
      </x:c>
      <x:c r="C564" s="65" t="str">
        <x:v>Tecnologia</x:v>
      </x:c>
      <x:c r="D564" s="65" t="str">
        <x:v>Parceiros</x:v>
      </x:c>
      <x:c r="E564" s="65" t="str">
        <x:v>Sul</x:v>
      </x:c>
      <x:c r="F564" s="65" t="str">
        <x:v>Beta Logistica</x:v>
      </x:c>
      <x:c r="G564" s="65" t="str">
        <x:v>Carla</x:v>
      </x:c>
      <x:c r="H564" s="74" t="n">
        <x:v>23866.58</x:v>
      </x:c>
      <x:c r="I564" s="74" t="n">
        <x:v>851.37</x:v>
      </x:c>
      <x:c r="J564" s="74" t="n">
        <x:v>14306.86</x:v>
      </x:c>
      <x:c r="K564" s="74" t="n">
        <x:v>23015.210000000003</x:v>
      </x:c>
      <x:c r="L564" s="74" t="n">
        <x:v>8708.350000000002</x:v>
      </x:c>
    </x:row>
    <x:row r="565">
      <x:c r="A565" s="65" t="str">
        <x:v>TX-1593</x:v>
      </x:c>
      <x:c r="B565" s="65" t="str">
        <x:v>2026-05-12</x:v>
      </x:c>
      <x:c r="C565" s="65" t="str">
        <x:v>Tecnologia</x:v>
      </x:c>
      <x:c r="D565" s="65" t="str">
        <x:v>Parceiros</x:v>
      </x:c>
      <x:c r="E565" s="65" t="str">
        <x:v>Centro-Oeste</x:v>
      </x:c>
      <x:c r="F565" s="65" t="str">
        <x:v>Foco Energia</x:v>
      </x:c>
      <x:c r="G565" s="65" t="str">
        <x:v>Carla</x:v>
      </x:c>
      <x:c r="H565" s="74" t="n">
        <x:v>19123.03</x:v>
      </x:c>
      <x:c r="I565" s="74" t="n">
        <x:v>340.51</x:v>
      </x:c>
      <x:c r="J565" s="74" t="n">
        <x:v>10788.27</x:v>
      </x:c>
      <x:c r="K565" s="74" t="n">
        <x:v>18782.52</x:v>
      </x:c>
      <x:c r="L565" s="74" t="n">
        <x:v>7994.25</x:v>
      </x:c>
    </x:row>
    <x:row r="566">
      <x:c r="A566" s="65" t="str">
        <x:v>TX-1550</x:v>
      </x:c>
      <x:c r="B566" s="65" t="str">
        <x:v>2026-05-12</x:v>
      </x:c>
      <x:c r="C566" s="65" t="str">
        <x:v>Comercial</x:v>
      </x:c>
      <x:c r="D566" s="65" t="str">
        <x:v>Direto</x:v>
      </x:c>
      <x:c r="E566" s="65" t="str">
        <x:v>Sul</x:v>
      </x:c>
      <x:c r="F566" s="65" t="str">
        <x:v>Alfa Industria</x:v>
      </x:c>
      <x:c r="G566" s="65" t="str">
        <x:v>Carla</x:v>
      </x:c>
      <x:c r="H566" s="74" t="n">
        <x:v>26854.34</x:v>
      </x:c>
      <x:c r="I566" s="74" t="n">
        <x:v>885.25</x:v>
      </x:c>
      <x:c r="J566" s="74" t="n">
        <x:v>14211.12</x:v>
      </x:c>
      <x:c r="K566" s="74" t="n">
        <x:v>25969.09</x:v>
      </x:c>
      <x:c r="L566" s="74" t="n">
        <x:v>11757.97</x:v>
      </x:c>
    </x:row>
    <x:row r="567">
      <x:c r="A567" s="65" t="str">
        <x:v>TX-1587</x:v>
      </x:c>
      <x:c r="B567" s="65" t="str">
        <x:v>2026-05-12</x:v>
      </x:c>
      <x:c r="C567" s="65" t="str">
        <x:v>Operacoes</x:v>
      </x:c>
      <x:c r="D567" s="65" t="str">
        <x:v>Direto</x:v>
      </x:c>
      <x:c r="E567" s="65" t="str">
        <x:v>Sul</x:v>
      </x:c>
      <x:c r="F567" s="65" t="str">
        <x:v>Foco Energia</x:v>
      </x:c>
      <x:c r="G567" s="65" t="str">
        <x:v>Elisa</x:v>
      </x:c>
      <x:c r="H567" s="74" t="n">
        <x:v>18224.12</x:v>
      </x:c>
      <x:c r="I567" s="74" t="n">
        <x:v>782.05</x:v>
      </x:c>
      <x:c r="J567" s="74" t="n">
        <x:v>11642.58</x:v>
      </x:c>
      <x:c r="K567" s="74" t="n">
        <x:v>17442.07</x:v>
      </x:c>
      <x:c r="L567" s="74" t="n">
        <x:v>5799.49</x:v>
      </x:c>
    </x:row>
    <x:row r="568">
      <x:c r="A568" s="65" t="str">
        <x:v>TX-1575</x:v>
      </x:c>
      <x:c r="B568" s="65" t="str">
        <x:v>2026-05-12</x:v>
      </x:c>
      <x:c r="C568" s="65" t="str">
        <x:v>Operacoes</x:v>
      </x:c>
      <x:c r="D568" s="65" t="str">
        <x:v>Direto</x:v>
      </x:c>
      <x:c r="E568" s="65" t="str">
        <x:v>Sul</x:v>
      </x:c>
      <x:c r="F568" s="65" t="str">
        <x:v>Alfa Industria</x:v>
      </x:c>
      <x:c r="G568" s="65" t="str">
        <x:v>Felipe</x:v>
      </x:c>
      <x:c r="H568" s="74" t="n">
        <x:v>15435.35</x:v>
      </x:c>
      <x:c r="I568" s="74" t="n">
        <x:v>525.84</x:v>
      </x:c>
      <x:c r="J568" s="74" t="n">
        <x:v>10236.54</x:v>
      </x:c>
      <x:c r="K568" s="74" t="n">
        <x:v>14909.51</x:v>
      </x:c>
      <x:c r="L568" s="74" t="n">
        <x:v>4672.969999999999</x:v>
      </x:c>
    </x:row>
    <x:row r="569">
      <x:c r="A569" s="65" t="str">
        <x:v>TX-1556</x:v>
      </x:c>
      <x:c r="B569" s="65" t="str">
        <x:v>2026-05-13</x:v>
      </x:c>
      <x:c r="C569" s="65" t="str">
        <x:v>Operacoes</x:v>
      </x:c>
      <x:c r="D569" s="65" t="str">
        <x:v>Parceiros</x:v>
      </x:c>
      <x:c r="E569" s="65" t="str">
        <x:v>Centro-Oeste</x:v>
      </x:c>
      <x:c r="F569" s="65" t="str">
        <x:v>Delta Varejo</x:v>
      </x:c>
      <x:c r="G569" s="65" t="str">
        <x:v>Carla</x:v>
      </x:c>
      <x:c r="H569" s="74" t="n">
        <x:v>17151.07</x:v>
      </x:c>
      <x:c r="I569" s="74" t="n">
        <x:v>299.24</x:v>
      </x:c>
      <x:c r="J569" s="74" t="n">
        <x:v>11185.84</x:v>
      </x:c>
      <x:c r="K569" s="74" t="n">
        <x:v>16851.829999999998</x:v>
      </x:c>
      <x:c r="L569" s="74" t="n">
        <x:v>5665.989999999998</x:v>
      </x:c>
    </x:row>
    <x:row r="570">
      <x:c r="A570" s="65" t="str">
        <x:v>TX-1552</x:v>
      </x:c>
      <x:c r="B570" s="65" t="str">
        <x:v>2026-05-13</x:v>
      </x:c>
      <x:c r="C570" s="65" t="str">
        <x:v>Tecnologia</x:v>
      </x:c>
      <x:c r="D570" s="65" t="str">
        <x:v>Direto</x:v>
      </x:c>
      <x:c r="E570" s="65" t="str">
        <x:v>Sudeste</x:v>
      </x:c>
      <x:c r="F570" s="65" t="str">
        <x:v>Beta Logistica</x:v>
      </x:c>
      <x:c r="G570" s="65" t="str">
        <x:v>Diego</x:v>
      </x:c>
      <x:c r="H570" s="74" t="n">
        <x:v>25210.91</x:v>
      </x:c>
      <x:c r="I570" s="74" t="n">
        <x:v>1903.14</x:v>
      </x:c>
      <x:c r="J570" s="74" t="n">
        <x:v>14427.31</x:v>
      </x:c>
      <x:c r="K570" s="74" t="n">
        <x:v>23307.77</x:v>
      </x:c>
      <x:c r="L570" s="74" t="n">
        <x:v>8880.460000000001</x:v>
      </x:c>
    </x:row>
    <x:row r="571">
      <x:c r="A571" s="65" t="str">
        <x:v>TX-1578</x:v>
      </x:c>
      <x:c r="B571" s="65" t="str">
        <x:v>2026-05-13</x:v>
      </x:c>
      <x:c r="C571" s="65" t="str">
        <x:v>Operacoes</x:v>
      </x:c>
      <x:c r="D571" s="65" t="str">
        <x:v>Digital</x:v>
      </x:c>
      <x:c r="E571" s="65" t="str">
        <x:v>Nordeste</x:v>
      </x:c>
      <x:c r="F571" s="65" t="str">
        <x:v>Alfa Industria</x:v>
      </x:c>
      <x:c r="G571" s="65" t="str">
        <x:v>Elisa</x:v>
      </x:c>
      <x:c r="H571" s="74" t="n">
        <x:v>15009.17</x:v>
      </x:c>
      <x:c r="I571" s="74" t="n">
        <x:v>982.65</x:v>
      </x:c>
      <x:c r="J571" s="74" t="n">
        <x:v>8757.29</x:v>
      </x:c>
      <x:c r="K571" s="74" t="n">
        <x:v>14026.52</x:v>
      </x:c>
      <x:c r="L571" s="74" t="n">
        <x:v>5269.23</x:v>
      </x:c>
    </x:row>
    <x:row r="572">
      <x:c r="A572" s="65" t="str">
        <x:v>TX-1566</x:v>
      </x:c>
      <x:c r="B572" s="65" t="str">
        <x:v>2026-05-13</x:v>
      </x:c>
      <x:c r="C572" s="65" t="str">
        <x:v>Operacoes</x:v>
      </x:c>
      <x:c r="D572" s="65" t="str">
        <x:v>Direto</x:v>
      </x:c>
      <x:c r="E572" s="65" t="str">
        <x:v>Sudeste</x:v>
      </x:c>
      <x:c r="F572" s="65" t="str">
        <x:v>Delta Varejo</x:v>
      </x:c>
      <x:c r="G572" s="65" t="str">
        <x:v>Elisa</x:v>
      </x:c>
      <x:c r="H572" s="74" t="n">
        <x:v>22068.93</x:v>
      </x:c>
      <x:c r="I572" s="74" t="n">
        <x:v>683.23</x:v>
      </x:c>
      <x:c r="J572" s="74" t="n">
        <x:v>15065.93</x:v>
      </x:c>
      <x:c r="K572" s="74" t="n">
        <x:v>21385.7</x:v>
      </x:c>
      <x:c r="L572" s="74" t="n">
        <x:v>6319.77</x:v>
      </x:c>
    </x:row>
    <x:row r="573">
      <x:c r="A573" s="65" t="str">
        <x:v>TX-1545</x:v>
      </x:c>
      <x:c r="B573" s="65" t="str">
        <x:v>2026-05-13</x:v>
      </x:c>
      <x:c r="C573" s="65" t="str">
        <x:v>Marketing</x:v>
      </x:c>
      <x:c r="D573" s="65" t="str">
        <x:v>Parceiros</x:v>
      </x:c>
      <x:c r="E573" s="65" t="str">
        <x:v>Nordeste</x:v>
      </x:c>
      <x:c r="F573" s="65" t="str">
        <x:v>Alfa Industria</x:v>
      </x:c>
      <x:c r="G573" s="65" t="str">
        <x:v>Felipe</x:v>
      </x:c>
      <x:c r="H573" s="74" t="n">
        <x:v>7984.5</x:v>
      </x:c>
      <x:c r="I573" s="74" t="n">
        <x:v>367.31</x:v>
      </x:c>
      <x:c r="J573" s="74" t="n">
        <x:v>5343.85</x:v>
      </x:c>
      <x:c r="K573" s="74" t="n">
        <x:v>7617.19</x:v>
      </x:c>
      <x:c r="L573" s="74" t="n">
        <x:v>2273.3399999999992</x:v>
      </x:c>
    </x:row>
    <x:row r="574">
      <x:c r="A574" s="65" t="str">
        <x:v>TX-1560</x:v>
      </x:c>
      <x:c r="B574" s="65" t="str">
        <x:v>2026-05-14</x:v>
      </x:c>
      <x:c r="C574" s="65" t="str">
        <x:v>Comercial</x:v>
      </x:c>
      <x:c r="D574" s="65" t="str">
        <x:v>Direto</x:v>
      </x:c>
      <x:c r="E574" s="65" t="str">
        <x:v>Sudeste</x:v>
      </x:c>
      <x:c r="F574" s="65" t="str">
        <x:v>Beta Logistica</x:v>
      </x:c>
      <x:c r="G574" s="65" t="str">
        <x:v>Felipe</x:v>
      </x:c>
      <x:c r="H574" s="74" t="n">
        <x:v>27762.83</x:v>
      </x:c>
      <x:c r="I574" s="74" t="n">
        <x:v>585.72</x:v>
      </x:c>
      <x:c r="J574" s="74" t="n">
        <x:v>15268.38</x:v>
      </x:c>
      <x:c r="K574" s="74" t="n">
        <x:v>27177.11</x:v>
      </x:c>
      <x:c r="L574" s="74" t="n">
        <x:v>11908.730000000001</x:v>
      </x:c>
    </x:row>
    <x:row r="575">
      <x:c r="A575" s="65" t="str">
        <x:v>TX-1557</x:v>
      </x:c>
      <x:c r="B575" s="65" t="str">
        <x:v>2026-05-15</x:v>
      </x:c>
      <x:c r="C575" s="65" t="str">
        <x:v>Comercial</x:v>
      </x:c>
      <x:c r="D575" s="65" t="str">
        <x:v>Parceiros</x:v>
      </x:c>
      <x:c r="E575" s="65" t="str">
        <x:v>Nordeste</x:v>
      </x:c>
      <x:c r="F575" s="65" t="str">
        <x:v>Foco Energia</x:v>
      </x:c>
      <x:c r="G575" s="65" t="str">
        <x:v>Bruno</x:v>
      </x:c>
      <x:c r="H575" s="74" t="n">
        <x:v>28708.48</x:v>
      </x:c>
      <x:c r="I575" s="74" t="n">
        <x:v>722.45</x:v>
      </x:c>
      <x:c r="J575" s="74" t="n">
        <x:v>15023.7</x:v>
      </x:c>
      <x:c r="K575" s="74" t="n">
        <x:v>27986.03</x:v>
      </x:c>
      <x:c r="L575" s="74" t="n">
        <x:v>12962.329999999998</x:v>
      </x:c>
    </x:row>
    <x:row r="576">
      <x:c r="A576" s="65" t="str">
        <x:v>TX-1589</x:v>
      </x:c>
      <x:c r="B576" s="65" t="str">
        <x:v>2026-05-16</x:v>
      </x:c>
      <x:c r="C576" s="65" t="str">
        <x:v>Marketing</x:v>
      </x:c>
      <x:c r="D576" s="65" t="str">
        <x:v>Parceiros</x:v>
      </x:c>
      <x:c r="E576" s="65" t="str">
        <x:v>Sudeste</x:v>
      </x:c>
      <x:c r="F576" s="65" t="str">
        <x:v>Alfa Industria</x:v>
      </x:c>
      <x:c r="G576" s="65" t="str">
        <x:v>Bruno</x:v>
      </x:c>
      <x:c r="H576" s="74" t="n">
        <x:v>15351.44</x:v>
      </x:c>
      <x:c r="I576" s="74" t="n">
        <x:v>940.47</x:v>
      </x:c>
      <x:c r="J576" s="74" t="n">
        <x:v>10376.97</x:v>
      </x:c>
      <x:c r="K576" s="74" t="n">
        <x:v>14410.970000000001</x:v>
      </x:c>
      <x:c r="L576" s="74" t="n">
        <x:v>4034.000000000002</x:v>
      </x:c>
    </x:row>
    <x:row r="577">
      <x:c r="A577" s="65" t="str">
        <x:v>TX-1580</x:v>
      </x:c>
      <x:c r="B577" s="65" t="str">
        <x:v>2026-05-16</x:v>
      </x:c>
      <x:c r="C577" s="65" t="str">
        <x:v>Marketing</x:v>
      </x:c>
      <x:c r="D577" s="65" t="str">
        <x:v>Digital</x:v>
      </x:c>
      <x:c r="E577" s="65" t="str">
        <x:v>Sudeste</x:v>
      </x:c>
      <x:c r="F577" s="65" t="str">
        <x:v>Beta Logistica</x:v>
      </x:c>
      <x:c r="G577" s="65" t="str">
        <x:v>Elisa</x:v>
      </x:c>
      <x:c r="H577" s="74" t="n">
        <x:v>11445.28</x:v>
      </x:c>
      <x:c r="I577" s="74" t="n">
        <x:v>216.91</x:v>
      </x:c>
      <x:c r="J577" s="74" t="n">
        <x:v>8446.97</x:v>
      </x:c>
      <x:c r="K577" s="74" t="n">
        <x:v>11228.37</x:v>
      </x:c>
      <x:c r="L577" s="74" t="n">
        <x:v>2781.4000000000015</x:v>
      </x:c>
    </x:row>
    <x:row r="578">
      <x:c r="A578" s="65" t="str">
        <x:v>TX-1558</x:v>
      </x:c>
      <x:c r="B578" s="65" t="str">
        <x:v>2026-05-17</x:v>
      </x:c>
      <x:c r="C578" s="65" t="str">
        <x:v>Comercial</x:v>
      </x:c>
      <x:c r="D578" s="65" t="str">
        <x:v>Digital</x:v>
      </x:c>
      <x:c r="E578" s="65" t="str">
        <x:v>Sul</x:v>
      </x:c>
      <x:c r="F578" s="65" t="str">
        <x:v>Crescer Educacao</x:v>
      </x:c>
      <x:c r="G578" s="65" t="str">
        <x:v>Bruno</x:v>
      </x:c>
      <x:c r="H578" s="74" t="n">
        <x:v>26988.56</x:v>
      </x:c>
      <x:c r="I578" s="74" t="n">
        <x:v>603.25</x:v>
      </x:c>
      <x:c r="J578" s="74" t="n">
        <x:v>14302.34</x:v>
      </x:c>
      <x:c r="K578" s="74" t="n">
        <x:v>26385.31</x:v>
      </x:c>
      <x:c r="L578" s="74" t="n">
        <x:v>12082.970000000001</x:v>
      </x:c>
    </x:row>
    <x:row r="579">
      <x:c r="A579" s="65" t="str">
        <x:v>TX-1542</x:v>
      </x:c>
      <x:c r="B579" s="65" t="str">
        <x:v>2026-05-19</x:v>
      </x:c>
      <x:c r="C579" s="65" t="str">
        <x:v>Tecnologia</x:v>
      </x:c>
      <x:c r="D579" s="65" t="str">
        <x:v>Parceiros</x:v>
      </x:c>
      <x:c r="E579" s="65" t="str">
        <x:v>Nordeste</x:v>
      </x:c>
      <x:c r="F579" s="65" t="str">
        <x:v>Horizonte Tech</x:v>
      </x:c>
      <x:c r="G579" s="65" t="str">
        <x:v>Carla</x:v>
      </x:c>
      <x:c r="H579" s="74" t="n">
        <x:v>23613.03</x:v>
      </x:c>
      <x:c r="I579" s="74" t="n">
        <x:v>737.93</x:v>
      </x:c>
      <x:c r="J579" s="74" t="n">
        <x:v>14312.82</x:v>
      </x:c>
      <x:c r="K579" s="74" t="n">
        <x:v>22875.1</x:v>
      </x:c>
      <x:c r="L579" s="74" t="n">
        <x:v>8562.279999999999</x:v>
      </x:c>
    </x:row>
    <x:row r="580">
      <x:c r="A580" s="65" t="str">
        <x:v>TX-1562</x:v>
      </x:c>
      <x:c r="B580" s="65" t="str">
        <x:v>2026-05-19</x:v>
      </x:c>
      <x:c r="C580" s="65" t="str">
        <x:v>Tecnologia</x:v>
      </x:c>
      <x:c r="D580" s="65" t="str">
        <x:v>Direto</x:v>
      </x:c>
      <x:c r="E580" s="65" t="str">
        <x:v>Sudeste</x:v>
      </x:c>
      <x:c r="F580" s="65" t="str">
        <x:v>Crescer Educacao</x:v>
      </x:c>
      <x:c r="G580" s="65" t="str">
        <x:v>Felipe</x:v>
      </x:c>
      <x:c r="H580" s="74" t="n">
        <x:v>23889.21</x:v>
      </x:c>
      <x:c r="I580" s="74" t="n">
        <x:v>840.79</x:v>
      </x:c>
      <x:c r="J580" s="74" t="n">
        <x:v>14879.86</x:v>
      </x:c>
      <x:c r="K580" s="74" t="n">
        <x:v>23048.42</x:v>
      </x:c>
      <x:c r="L580" s="74" t="n">
        <x:v>8168.559999999998</x:v>
      </x:c>
    </x:row>
    <x:row r="581">
      <x:c r="A581" s="65" t="str">
        <x:v>TX-1570</x:v>
      </x:c>
      <x:c r="B581" s="65" t="str">
        <x:v>2026-05-19</x:v>
      </x:c>
      <x:c r="C581" s="65" t="str">
        <x:v>Operacoes</x:v>
      </x:c>
      <x:c r="D581" s="65" t="str">
        <x:v>Digital</x:v>
      </x:c>
      <x:c r="E581" s="65" t="str">
        <x:v>Centro-Oeste</x:v>
      </x:c>
      <x:c r="F581" s="65" t="str">
        <x:v>Gama Servicos</x:v>
      </x:c>
      <x:c r="G581" s="65" t="str">
        <x:v>Felipe</x:v>
      </x:c>
      <x:c r="H581" s="74" t="n">
        <x:v>18965.99</x:v>
      </x:c>
      <x:c r="I581" s="74" t="n">
        <x:v>1319.51</x:v>
      </x:c>
      <x:c r="J581" s="74" t="n">
        <x:v>12292.36</x:v>
      </x:c>
      <x:c r="K581" s="74" t="n">
        <x:v>17646.480000000003</x:v>
      </x:c>
      <x:c r="L581" s="74" t="n">
        <x:v>5354.120000000003</x:v>
      </x:c>
    </x:row>
    <x:row r="582">
      <x:c r="A582" s="65" t="str">
        <x:v>TX-1569</x:v>
      </x:c>
      <x:c r="B582" s="65" t="str">
        <x:v>2026-05-19</x:v>
      </x:c>
      <x:c r="C582" s="65" t="str">
        <x:v>Marketing</x:v>
      </x:c>
      <x:c r="D582" s="65" t="str">
        <x:v>Digital</x:v>
      </x:c>
      <x:c r="E582" s="65" t="str">
        <x:v>Centro-Oeste</x:v>
      </x:c>
      <x:c r="F582" s="65" t="str">
        <x:v>Evo Saude</x:v>
      </x:c>
      <x:c r="G582" s="65" t="str">
        <x:v>Carla</x:v>
      </x:c>
      <x:c r="H582" s="74" t="n">
        <x:v>20769.38</x:v>
      </x:c>
      <x:c r="I582" s="74" t="n">
        <x:v>1269.4</x:v>
      </x:c>
      <x:c r="J582" s="74" t="n">
        <x:v>13880.64</x:v>
      </x:c>
      <x:c r="K582" s="74" t="n">
        <x:v>19499.98</x:v>
      </x:c>
      <x:c r="L582" s="74" t="n">
        <x:v>5619.34</x:v>
      </x:c>
    </x:row>
    <x:row r="583">
      <x:c r="A583" s="65" t="str">
        <x:v>TX-1579</x:v>
      </x:c>
      <x:c r="B583" s="65" t="str">
        <x:v>2026-05-19</x:v>
      </x:c>
      <x:c r="C583" s="65" t="str">
        <x:v>Marketing</x:v>
      </x:c>
      <x:c r="D583" s="65" t="str">
        <x:v>Parceiros</x:v>
      </x:c>
      <x:c r="E583" s="65" t="str">
        <x:v>Sudeste</x:v>
      </x:c>
      <x:c r="F583" s="65" t="str">
        <x:v>Crescer Educacao</x:v>
      </x:c>
      <x:c r="G583" s="65" t="str">
        <x:v>Diego</x:v>
      </x:c>
      <x:c r="H583" s="74" t="n">
        <x:v>11082.31</x:v>
      </x:c>
      <x:c r="I583" s="74" t="n">
        <x:v>759.45</x:v>
      </x:c>
      <x:c r="J583" s="74" t="n">
        <x:v>7739.5</x:v>
      </x:c>
      <x:c r="K583" s="74" t="n">
        <x:v>10322.859999999999</x:v>
      </x:c>
      <x:c r="L583" s="74" t="n">
        <x:v>2583.3599999999988</x:v>
      </x:c>
    </x:row>
    <x:row r="584">
      <x:c r="A584" s="65" t="str">
        <x:v>TX-1563</x:v>
      </x:c>
      <x:c r="B584" s="65" t="str">
        <x:v>2026-05-20</x:v>
      </x:c>
      <x:c r="C584" s="65" t="str">
        <x:v>Marketing</x:v>
      </x:c>
      <x:c r="D584" s="65" t="str">
        <x:v>Digital</x:v>
      </x:c>
      <x:c r="E584" s="65" t="str">
        <x:v>Sudeste</x:v>
      </x:c>
      <x:c r="F584" s="65" t="str">
        <x:v>Alfa Industria</x:v>
      </x:c>
      <x:c r="G584" s="65" t="str">
        <x:v>Elisa</x:v>
      </x:c>
      <x:c r="H584" s="74" t="n">
        <x:v>21226.83</x:v>
      </x:c>
      <x:c r="I584" s="74" t="n">
        <x:v>1061.47</x:v>
      </x:c>
      <x:c r="J584" s="74" t="n">
        <x:v>14494.79</x:v>
      </x:c>
      <x:c r="K584" s="74" t="n">
        <x:v>20165.36</x:v>
      </x:c>
      <x:c r="L584" s="74" t="n">
        <x:v>5670.57</x:v>
      </x:c>
    </x:row>
    <x:row r="585">
      <x:c r="A585" s="65" t="str">
        <x:v>TX-1577</x:v>
      </x:c>
      <x:c r="B585" s="65" t="str">
        <x:v>2026-05-20</x:v>
      </x:c>
      <x:c r="C585" s="65" t="str">
        <x:v>Tecnologia</x:v>
      </x:c>
      <x:c r="D585" s="65" t="str">
        <x:v>Parceiros</x:v>
      </x:c>
      <x:c r="E585" s="65" t="str">
        <x:v>Centro-Oeste</x:v>
      </x:c>
      <x:c r="F585" s="65" t="str">
        <x:v>Crescer Educacao</x:v>
      </x:c>
      <x:c r="G585" s="65" t="str">
        <x:v>Felipe</x:v>
      </x:c>
      <x:c r="H585" s="74" t="n">
        <x:v>20308.63</x:v>
      </x:c>
      <x:c r="I585" s="74" t="n">
        <x:v>1144.26</x:v>
      </x:c>
      <x:c r="J585" s="74" t="n">
        <x:v>11816.38</x:v>
      </x:c>
      <x:c r="K585" s="74" t="n">
        <x:v>19164.370000000003</x:v>
      </x:c>
      <x:c r="L585" s="74" t="n">
        <x:v>7347.990000000003</x:v>
      </x:c>
    </x:row>
    <x:row r="586">
      <x:c r="A586" s="65" t="str">
        <x:v>TX-1564</x:v>
      </x:c>
      <x:c r="B586" s="65" t="str">
        <x:v>2026-05-20</x:v>
      </x:c>
      <x:c r="C586" s="65" t="str">
        <x:v>Comercial</x:v>
      </x:c>
      <x:c r="D586" s="65" t="str">
        <x:v>Direto</x:v>
      </x:c>
      <x:c r="E586" s="65" t="str">
        <x:v>Nordeste</x:v>
      </x:c>
      <x:c r="F586" s="65" t="str">
        <x:v>Crescer Educacao</x:v>
      </x:c>
      <x:c r="G586" s="65" t="str">
        <x:v>Carla</x:v>
      </x:c>
      <x:c r="H586" s="74" t="n">
        <x:v>22609.68</x:v>
      </x:c>
      <x:c r="I586" s="74" t="n">
        <x:v>996.93</x:v>
      </x:c>
      <x:c r="J586" s="74" t="n">
        <x:v>11348.81</x:v>
      </x:c>
      <x:c r="K586" s="74" t="n">
        <x:v>21612.75</x:v>
      </x:c>
      <x:c r="L586" s="74" t="n">
        <x:v>10263.94</x:v>
      </x:c>
    </x:row>
    <x:row r="587">
      <x:c r="A587" s="65" t="str">
        <x:v>TX-1586</x:v>
      </x:c>
      <x:c r="B587" s="65" t="str">
        <x:v>2026-05-21</x:v>
      </x:c>
      <x:c r="C587" s="65" t="str">
        <x:v>Operacoes</x:v>
      </x:c>
      <x:c r="D587" s="65" t="str">
        <x:v>Digital</x:v>
      </x:c>
      <x:c r="E587" s="65" t="str">
        <x:v>Nordeste</x:v>
      </x:c>
      <x:c r="F587" s="65" t="str">
        <x:v>Evo Saude</x:v>
      </x:c>
      <x:c r="G587" s="65" t="str">
        <x:v>Diego</x:v>
      </x:c>
      <x:c r="H587" s="74" t="n">
        <x:v>17060.21</x:v>
      </x:c>
      <x:c r="I587" s="74" t="n">
        <x:v>493.93</x:v>
      </x:c>
      <x:c r="J587" s="74" t="n">
        <x:v>12088.2</x:v>
      </x:c>
      <x:c r="K587" s="74" t="n">
        <x:v>16566.28</x:v>
      </x:c>
      <x:c r="L587" s="74" t="n">
        <x:v>4478.079999999998</x:v>
      </x:c>
    </x:row>
    <x:row r="588">
      <x:c r="A588" s="65" t="str">
        <x:v>TX-1591</x:v>
      </x:c>
      <x:c r="B588" s="65" t="str">
        <x:v>2026-05-21</x:v>
      </x:c>
      <x:c r="C588" s="65" t="str">
        <x:v>Tecnologia</x:v>
      </x:c>
      <x:c r="D588" s="65" t="str">
        <x:v>Digital</x:v>
      </x:c>
      <x:c r="E588" s="65" t="str">
        <x:v>Sudeste</x:v>
      </x:c>
      <x:c r="F588" s="65" t="str">
        <x:v>Horizonte Tech</x:v>
      </x:c>
      <x:c r="G588" s="65" t="str">
        <x:v>Elisa</x:v>
      </x:c>
      <x:c r="H588" s="74" t="n">
        <x:v>25566.61</x:v>
      </x:c>
      <x:c r="I588" s="74" t="n">
        <x:v>401.42</x:v>
      </x:c>
      <x:c r="J588" s="74" t="n">
        <x:v>16447.9</x:v>
      </x:c>
      <x:c r="K588" s="74" t="n">
        <x:v>25165.190000000002</x:v>
      </x:c>
      <x:c r="L588" s="74" t="n">
        <x:v>8717.29</x:v>
      </x:c>
    </x:row>
    <x:row r="589">
      <x:c r="A589" s="65" t="str">
        <x:v>TX-1574</x:v>
      </x:c>
      <x:c r="B589" s="65" t="str">
        <x:v>2026-05-22</x:v>
      </x:c>
      <x:c r="C589" s="65" t="str">
        <x:v>Comercial</x:v>
      </x:c>
      <x:c r="D589" s="65" t="str">
        <x:v>Direto</x:v>
      </x:c>
      <x:c r="E589" s="65" t="str">
        <x:v>Nordeste</x:v>
      </x:c>
      <x:c r="F589" s="65" t="str">
        <x:v>Evo Saude</x:v>
      </x:c>
      <x:c r="G589" s="65" t="str">
        <x:v>Elisa</x:v>
      </x:c>
      <x:c r="H589" s="74" t="n">
        <x:v>24836.57</x:v>
      </x:c>
      <x:c r="I589" s="74" t="n">
        <x:v>786.57</x:v>
      </x:c>
      <x:c r="J589" s="74" t="n">
        <x:v>13726.22</x:v>
      </x:c>
      <x:c r="K589" s="74" t="n">
        <x:v>24050</x:v>
      </x:c>
      <x:c r="L589" s="74" t="n">
        <x:v>10323.78</x:v>
      </x:c>
    </x:row>
    <x:row r="590">
      <x:c r="A590" s="65" t="str">
        <x:v>TX-1588</x:v>
      </x:c>
      <x:c r="B590" s="65" t="str">
        <x:v>2026-05-22</x:v>
      </x:c>
      <x:c r="C590" s="65" t="str">
        <x:v>Comercial</x:v>
      </x:c>
      <x:c r="D590" s="65" t="str">
        <x:v>Parceiros</x:v>
      </x:c>
      <x:c r="E590" s="65" t="str">
        <x:v>Nordeste</x:v>
      </x:c>
      <x:c r="F590" s="65" t="str">
        <x:v>Foco Energia</x:v>
      </x:c>
      <x:c r="G590" s="65" t="str">
        <x:v>Ana</x:v>
      </x:c>
      <x:c r="H590" s="74" t="n">
        <x:v>22379.1</x:v>
      </x:c>
      <x:c r="I590" s="74" t="n">
        <x:v>667.09</x:v>
      </x:c>
      <x:c r="J590" s="74" t="n">
        <x:v>11747.4</x:v>
      </x:c>
      <x:c r="K590" s="74" t="n">
        <x:v>21712.01</x:v>
      </x:c>
      <x:c r="L590" s="74" t="n">
        <x:v>9964.609999999999</x:v>
      </x:c>
    </x:row>
    <x:row r="591">
      <x:c r="A591" s="65" t="str">
        <x:v>TX-1561</x:v>
      </x:c>
      <x:c r="B591" s="65" t="str">
        <x:v>2026-05-23</x:v>
      </x:c>
      <x:c r="C591" s="65" t="str">
        <x:v>Marketing</x:v>
      </x:c>
      <x:c r="D591" s="65" t="str">
        <x:v>Parceiros</x:v>
      </x:c>
      <x:c r="E591" s="65" t="str">
        <x:v>Sudeste</x:v>
      </x:c>
      <x:c r="F591" s="65" t="str">
        <x:v>Crescer Educacao</x:v>
      </x:c>
      <x:c r="G591" s="65" t="str">
        <x:v>Ana</x:v>
      </x:c>
      <x:c r="H591" s="74" t="n">
        <x:v>18225.79</x:v>
      </x:c>
      <x:c r="I591" s="74" t="n">
        <x:v>489.06</x:v>
      </x:c>
      <x:c r="J591" s="74" t="n">
        <x:v>12661.8</x:v>
      </x:c>
      <x:c r="K591" s="74" t="n">
        <x:v>17736.73</x:v>
      </x:c>
      <x:c r="L591" s="74" t="n">
        <x:v>5074.93</x:v>
      </x:c>
    </x:row>
    <x:row r="592">
      <x:c r="A592" s="65" t="str">
        <x:v>TX-1567</x:v>
      </x:c>
      <x:c r="B592" s="65" t="str">
        <x:v>2026-05-23</x:v>
      </x:c>
      <x:c r="C592" s="65" t="str">
        <x:v>Comercial</x:v>
      </x:c>
      <x:c r="D592" s="65" t="str">
        <x:v>Direto</x:v>
      </x:c>
      <x:c r="E592" s="65" t="str">
        <x:v>Sudeste</x:v>
      </x:c>
      <x:c r="F592" s="65" t="str">
        <x:v>Foco Energia</x:v>
      </x:c>
      <x:c r="G592" s="65" t="str">
        <x:v>Bruno</x:v>
      </x:c>
      <x:c r="H592" s="74" t="n">
        <x:v>28054.68</x:v>
      </x:c>
      <x:c r="I592" s="74" t="n">
        <x:v>1624.41</x:v>
      </x:c>
      <x:c r="J592" s="74" t="n">
        <x:v>15264.37</x:v>
      </x:c>
      <x:c r="K592" s="74" t="n">
        <x:v>26430.27</x:v>
      </x:c>
      <x:c r="L592" s="74" t="n">
        <x:v>11165.9</x:v>
      </x:c>
    </x:row>
    <x:row r="593">
      <x:c r="A593" s="65" t="str">
        <x:v>TX-1565</x:v>
      </x:c>
      <x:c r="B593" s="65" t="str">
        <x:v>2026-05-24</x:v>
      </x:c>
      <x:c r="C593" s="65" t="str">
        <x:v>Operacoes</x:v>
      </x:c>
      <x:c r="D593" s="65" t="str">
        <x:v>Parceiros</x:v>
      </x:c>
      <x:c r="E593" s="65" t="str">
        <x:v>Sudeste</x:v>
      </x:c>
      <x:c r="F593" s="65" t="str">
        <x:v>Gama Servicos</x:v>
      </x:c>
      <x:c r="G593" s="65" t="str">
        <x:v>Diego</x:v>
      </x:c>
      <x:c r="H593" s="74" t="n">
        <x:v>19884.01</x:v>
      </x:c>
      <x:c r="I593" s="74" t="n">
        <x:v>253</x:v>
      </x:c>
      <x:c r="J593" s="74" t="n">
        <x:v>14354.09</x:v>
      </x:c>
      <x:c r="K593" s="74" t="n">
        <x:v>19631.01</x:v>
      </x:c>
      <x:c r="L593" s="74" t="n">
        <x:v>5276.919999999998</x:v>
      </x:c>
    </x:row>
    <x:row r="594">
      <x:c r="A594" s="65" t="str">
        <x:v>TX-1551</x:v>
      </x:c>
      <x:c r="B594" s="65" t="str">
        <x:v>2026-05-25</x:v>
      </x:c>
      <x:c r="C594" s="65" t="str">
        <x:v>Marketing</x:v>
      </x:c>
      <x:c r="D594" s="65" t="str">
        <x:v>Digital</x:v>
      </x:c>
      <x:c r="E594" s="65" t="str">
        <x:v>Sul</x:v>
      </x:c>
      <x:c r="F594" s="65" t="str">
        <x:v>Crescer Educacao</x:v>
      </x:c>
      <x:c r="G594" s="65" t="str">
        <x:v>Ana</x:v>
      </x:c>
      <x:c r="H594" s="74" t="n">
        <x:v>15619.24</x:v>
      </x:c>
      <x:c r="I594" s="74" t="n">
        <x:v>1196.27</x:v>
      </x:c>
      <x:c r="J594" s="74" t="n">
        <x:v>10638.55</x:v>
      </x:c>
      <x:c r="K594" s="74" t="n">
        <x:v>14422.97</x:v>
      </x:c>
      <x:c r="L594" s="74" t="n">
        <x:v>3784.42</x:v>
      </x:c>
    </x:row>
    <x:row r="595">
      <x:c r="A595" s="65" t="str">
        <x:v>TX-1571</x:v>
      </x:c>
      <x:c r="B595" s="65" t="str">
        <x:v>2026-05-25</x:v>
      </x:c>
      <x:c r="C595" s="65" t="str">
        <x:v>Comercial</x:v>
      </x:c>
      <x:c r="D595" s="65" t="str">
        <x:v>Direto</x:v>
      </x:c>
      <x:c r="E595" s="65" t="str">
        <x:v>Centro-Oeste</x:v>
      </x:c>
      <x:c r="F595" s="65" t="str">
        <x:v>Delta Varejo</x:v>
      </x:c>
      <x:c r="G595" s="65" t="str">
        <x:v>Diego</x:v>
      </x:c>
      <x:c r="H595" s="74" t="n">
        <x:v>31106.15</x:v>
      </x:c>
      <x:c r="I595" s="74" t="n">
        <x:v>1959.2</x:v>
      </x:c>
      <x:c r="J595" s="74" t="n">
        <x:v>16794.04</x:v>
      </x:c>
      <x:c r="K595" s="74" t="n">
        <x:v>29146.95</x:v>
      </x:c>
      <x:c r="L595" s="74" t="n">
        <x:v>12352.91</x:v>
      </x:c>
    </x:row>
    <x:row r="596">
      <x:c r="A596" s="65" t="str">
        <x:v>TX-1609</x:v>
      </x:c>
      <x:c r="B596" s="65" t="str">
        <x:v>2026-06-02</x:v>
      </x:c>
      <x:c r="C596" s="65" t="str">
        <x:v>Comercial</x:v>
      </x:c>
      <x:c r="D596" s="65" t="str">
        <x:v>Parceiros</x:v>
      </x:c>
      <x:c r="E596" s="65" t="str">
        <x:v>Sul</x:v>
      </x:c>
      <x:c r="F596" s="65" t="str">
        <x:v>Alfa Industria</x:v>
      </x:c>
      <x:c r="G596" s="65" t="str">
        <x:v>Diego</x:v>
      </x:c>
      <x:c r="H596" s="74" t="n">
        <x:v>21429.87</x:v>
      </x:c>
      <x:c r="I596" s="74" t="n">
        <x:v>1192.08</x:v>
      </x:c>
      <x:c r="J596" s="74" t="n">
        <x:v>11465.77</x:v>
      </x:c>
      <x:c r="K596" s="74" t="n">
        <x:v>20237.79</x:v>
      </x:c>
      <x:c r="L596" s="74" t="n">
        <x:v>8772.02</x:v>
      </x:c>
    </x:row>
    <x:row r="597">
      <x:c r="A597" s="65" t="str">
        <x:v>TX-1618</x:v>
      </x:c>
      <x:c r="B597" s="65" t="str">
        <x:v>2026-06-02</x:v>
      </x:c>
      <x:c r="C597" s="65" t="str">
        <x:v>Tecnologia</x:v>
      </x:c>
      <x:c r="D597" s="65" t="str">
        <x:v>Digital</x:v>
      </x:c>
      <x:c r="E597" s="65" t="str">
        <x:v>Centro-Oeste</x:v>
      </x:c>
      <x:c r="F597" s="65" t="str">
        <x:v>Delta Varejo</x:v>
      </x:c>
      <x:c r="G597" s="65" t="str">
        <x:v>Diego</x:v>
      </x:c>
      <x:c r="H597" s="74" t="n">
        <x:v>25733</x:v>
      </x:c>
      <x:c r="I597" s="74" t="n">
        <x:v>1782.74</x:v>
      </x:c>
      <x:c r="J597" s="74" t="n">
        <x:v>14879.45</x:v>
      </x:c>
      <x:c r="K597" s="74" t="n">
        <x:v>23950.26</x:v>
      </x:c>
      <x:c r="L597" s="74" t="n">
        <x:v>9070.809999999998</x:v>
      </x:c>
    </x:row>
    <x:row r="598">
      <x:c r="A598" s="65" t="str">
        <x:v>TX-1634</x:v>
      </x:c>
      <x:c r="B598" s="65" t="str">
        <x:v>2026-06-02</x:v>
      </x:c>
      <x:c r="C598" s="65" t="str">
        <x:v>Operacoes</x:v>
      </x:c>
      <x:c r="D598" s="65" t="str">
        <x:v>Parceiros</x:v>
      </x:c>
      <x:c r="E598" s="65" t="str">
        <x:v>Nordeste</x:v>
      </x:c>
      <x:c r="F598" s="65" t="str">
        <x:v>Delta Varejo</x:v>
      </x:c>
      <x:c r="G598" s="65" t="str">
        <x:v>Carla</x:v>
      </x:c>
      <x:c r="H598" s="74" t="n">
        <x:v>19288.73</x:v>
      </x:c>
      <x:c r="I598" s="74" t="n">
        <x:v>907.11</x:v>
      </x:c>
      <x:c r="J598" s="74" t="n">
        <x:v>12764.66</x:v>
      </x:c>
      <x:c r="K598" s="74" t="n">
        <x:v>18381.62</x:v>
      </x:c>
      <x:c r="L598" s="74" t="n">
        <x:v>5616.959999999999</x:v>
      </x:c>
    </x:row>
    <x:row r="599">
      <x:c r="A599" s="65" t="str">
        <x:v>TX-1624</x:v>
      </x:c>
      <x:c r="B599" s="65" t="str">
        <x:v>2026-06-02</x:v>
      </x:c>
      <x:c r="C599" s="65" t="str">
        <x:v>Comercial</x:v>
      </x:c>
      <x:c r="D599" s="65" t="str">
        <x:v>Direto</x:v>
      </x:c>
      <x:c r="E599" s="65" t="str">
        <x:v>Centro-Oeste</x:v>
      </x:c>
      <x:c r="F599" s="65" t="str">
        <x:v>Delta Varejo</x:v>
      </x:c>
      <x:c r="G599" s="65" t="str">
        <x:v>Bruno</x:v>
      </x:c>
      <x:c r="H599" s="74" t="n">
        <x:v>24186.57</x:v>
      </x:c>
      <x:c r="I599" s="74" t="n">
        <x:v>1341.02</x:v>
      </x:c>
      <x:c r="J599" s="74" t="n">
        <x:v>13574.69</x:v>
      </x:c>
      <x:c r="K599" s="74" t="n">
        <x:v>22845.55</x:v>
      </x:c>
      <x:c r="L599" s="74" t="n">
        <x:v>9270.859999999999</x:v>
      </x:c>
    </x:row>
    <x:row r="600">
      <x:c r="A600" s="65" t="str">
        <x:v>TX-1622</x:v>
      </x:c>
      <x:c r="B600" s="65" t="str">
        <x:v>2026-06-04</x:v>
      </x:c>
      <x:c r="C600" s="65" t="str">
        <x:v>Operacoes</x:v>
      </x:c>
      <x:c r="D600" s="65" t="str">
        <x:v>Digital</x:v>
      </x:c>
      <x:c r="E600" s="65" t="str">
        <x:v>Nordeste</x:v>
      </x:c>
      <x:c r="F600" s="65" t="str">
        <x:v>Crescer Educacao</x:v>
      </x:c>
      <x:c r="G600" s="65" t="str">
        <x:v>Elisa</x:v>
      </x:c>
      <x:c r="H600" s="74" t="n">
        <x:v>17568.14</x:v>
      </x:c>
      <x:c r="I600" s="74" t="n">
        <x:v>896.49</x:v>
      </x:c>
      <x:c r="J600" s="74" t="n">
        <x:v>12155.18</x:v>
      </x:c>
      <x:c r="K600" s="74" t="n">
        <x:v>16671.649999999998</x:v>
      </x:c>
      <x:c r="L600" s="74" t="n">
        <x:v>4516.4699999999975</x:v>
      </x:c>
    </x:row>
    <x:row r="601">
      <x:c r="A601" s="65" t="str">
        <x:v>TX-1610</x:v>
      </x:c>
      <x:c r="B601" s="65" t="str">
        <x:v>2026-06-04</x:v>
      </x:c>
      <x:c r="C601" s="65" t="str">
        <x:v>Comercial</x:v>
      </x:c>
      <x:c r="D601" s="65" t="str">
        <x:v>Parceiros</x:v>
      </x:c>
      <x:c r="E601" s="65" t="str">
        <x:v>Sudeste</x:v>
      </x:c>
      <x:c r="F601" s="65" t="str">
        <x:v>Horizonte Tech</x:v>
      </x:c>
      <x:c r="G601" s="65" t="str">
        <x:v>Carla</x:v>
      </x:c>
      <x:c r="H601" s="74" t="n">
        <x:v>16266.96</x:v>
      </x:c>
      <x:c r="I601" s="74" t="n">
        <x:v>244.47</x:v>
      </x:c>
      <x:c r="J601" s="74" t="n">
        <x:v>8721.24</x:v>
      </x:c>
      <x:c r="K601" s="74" t="n">
        <x:v>16022.49</x:v>
      </x:c>
      <x:c r="L601" s="74" t="n">
        <x:v>7301.25</x:v>
      </x:c>
    </x:row>
    <x:row r="602">
      <x:c r="A602" s="65" t="str">
        <x:v>TX-1647</x:v>
      </x:c>
      <x:c r="B602" s="65" t="str">
        <x:v>2026-06-04</x:v>
      </x:c>
      <x:c r="C602" s="65" t="str">
        <x:v>Comercial</x:v>
      </x:c>
      <x:c r="D602" s="65" t="str">
        <x:v>Digital</x:v>
      </x:c>
      <x:c r="E602" s="65" t="str">
        <x:v>Nordeste</x:v>
      </x:c>
      <x:c r="F602" s="65" t="str">
        <x:v>Delta Varejo</x:v>
      </x:c>
      <x:c r="G602" s="65" t="str">
        <x:v>Bruno</x:v>
      </x:c>
      <x:c r="H602" s="74" t="n">
        <x:v>21444.46</x:v>
      </x:c>
      <x:c r="I602" s="74" t="n">
        <x:v>1119.92</x:v>
      </x:c>
      <x:c r="J602" s="74" t="n">
        <x:v>11771.22</x:v>
      </x:c>
      <x:c r="K602" s="74" t="n">
        <x:v>20324.54</x:v>
      </x:c>
      <x:c r="L602" s="74" t="n">
        <x:v>8553.320000000002</x:v>
      </x:c>
    </x:row>
    <x:row r="603">
      <x:c r="A603" s="65" t="str">
        <x:v>TX-1620</x:v>
      </x:c>
      <x:c r="B603" s="65" t="str">
        <x:v>2026-06-05</x:v>
      </x:c>
      <x:c r="C603" s="65" t="str">
        <x:v>Tecnologia</x:v>
      </x:c>
      <x:c r="D603" s="65" t="str">
        <x:v>Parceiros</x:v>
      </x:c>
      <x:c r="E603" s="65" t="str">
        <x:v>Sul</x:v>
      </x:c>
      <x:c r="F603" s="65" t="str">
        <x:v>Delta Varejo</x:v>
      </x:c>
      <x:c r="G603" s="65" t="str">
        <x:v>Diego</x:v>
      </x:c>
      <x:c r="H603" s="74" t="n">
        <x:v>15450.81</x:v>
      </x:c>
      <x:c r="I603" s="74" t="n">
        <x:v>1181.56</x:v>
      </x:c>
      <x:c r="J603" s="74" t="n">
        <x:v>8496.18</x:v>
      </x:c>
      <x:c r="K603" s="74" t="n">
        <x:v>14269.25</x:v>
      </x:c>
      <x:c r="L603" s="74" t="n">
        <x:v>5773.07</x:v>
      </x:c>
    </x:row>
    <x:row r="604">
      <x:c r="A604" s="65" t="str">
        <x:v>TX-1627</x:v>
      </x:c>
      <x:c r="B604" s="65" t="str">
        <x:v>2026-06-05</x:v>
      </x:c>
      <x:c r="C604" s="65" t="str">
        <x:v>Comercial</x:v>
      </x:c>
      <x:c r="D604" s="65" t="str">
        <x:v>Parceiros</x:v>
      </x:c>
      <x:c r="E604" s="65" t="str">
        <x:v>Nordeste</x:v>
      </x:c>
      <x:c r="F604" s="65" t="str">
        <x:v>Evo Saude</x:v>
      </x:c>
      <x:c r="G604" s="65" t="str">
        <x:v>Felipe</x:v>
      </x:c>
      <x:c r="H604" s="74" t="n">
        <x:v>28559.83</x:v>
      </x:c>
      <x:c r="I604" s="74" t="n">
        <x:v>1467.27</x:v>
      </x:c>
      <x:c r="J604" s="74" t="n">
        <x:v>13655.44</x:v>
      </x:c>
      <x:c r="K604" s="74" t="n">
        <x:v>27092.56</x:v>
      </x:c>
      <x:c r="L604" s="74" t="n">
        <x:v>13437.12</x:v>
      </x:c>
    </x:row>
    <x:row r="605">
      <x:c r="A605" s="65" t="str">
        <x:v>TX-1635</x:v>
      </x:c>
      <x:c r="B605" s="65" t="str">
        <x:v>2026-06-07</x:v>
      </x:c>
      <x:c r="C605" s="65" t="str">
        <x:v>Comercial</x:v>
      </x:c>
      <x:c r="D605" s="65" t="str">
        <x:v>Digital</x:v>
      </x:c>
      <x:c r="E605" s="65" t="str">
        <x:v>Sudeste</x:v>
      </x:c>
      <x:c r="F605" s="65" t="str">
        <x:v>Delta Varejo</x:v>
      </x:c>
      <x:c r="G605" s="65" t="str">
        <x:v>Diego</x:v>
      </x:c>
      <x:c r="H605" s="74" t="n">
        <x:v>23099.92</x:v>
      </x:c>
      <x:c r="I605" s="74" t="n">
        <x:v>934.53</x:v>
      </x:c>
      <x:c r="J605" s="74" t="n">
        <x:v>12204.41</x:v>
      </x:c>
      <x:c r="K605" s="74" t="n">
        <x:v>22165.39</x:v>
      </x:c>
      <x:c r="L605" s="74" t="n">
        <x:v>9960.98</x:v>
      </x:c>
    </x:row>
    <x:row r="606">
      <x:c r="A606" s="65" t="str">
        <x:v>TX-1597</x:v>
      </x:c>
      <x:c r="B606" s="65" t="str">
        <x:v>2026-06-08</x:v>
      </x:c>
      <x:c r="C606" s="65" t="str">
        <x:v>Tecnologia</x:v>
      </x:c>
      <x:c r="D606" s="65" t="str">
        <x:v>Digital</x:v>
      </x:c>
      <x:c r="E606" s="65" t="str">
        <x:v>Centro-Oeste</x:v>
      </x:c>
      <x:c r="F606" s="65" t="str">
        <x:v>Gama Servicos</x:v>
      </x:c>
      <x:c r="G606" s="65" t="str">
        <x:v>Elisa</x:v>
      </x:c>
      <x:c r="H606" s="74" t="n">
        <x:v>22685.82</x:v>
      </x:c>
      <x:c r="I606" s="74" t="n">
        <x:v>532.25</x:v>
      </x:c>
      <x:c r="J606" s="74" t="n">
        <x:v>13587.04</x:v>
      </x:c>
      <x:c r="K606" s="74" t="n">
        <x:v>22153.57</x:v>
      </x:c>
      <x:c r="L606" s="74" t="n">
        <x:v>8566.529999999999</x:v>
      </x:c>
    </x:row>
    <x:row r="607">
      <x:c r="A607" s="65" t="str">
        <x:v>TX-1605</x:v>
      </x:c>
      <x:c r="B607" s="65" t="str">
        <x:v>2026-06-08</x:v>
      </x:c>
      <x:c r="C607" s="65" t="str">
        <x:v>Tecnologia</x:v>
      </x:c>
      <x:c r="D607" s="65" t="str">
        <x:v>Direto</x:v>
      </x:c>
      <x:c r="E607" s="65" t="str">
        <x:v>Sudeste</x:v>
      </x:c>
      <x:c r="F607" s="65" t="str">
        <x:v>Alfa Industria</x:v>
      </x:c>
      <x:c r="G607" s="65" t="str">
        <x:v>Diego</x:v>
      </x:c>
      <x:c r="H607" s="74" t="n">
        <x:v>18445.76</x:v>
      </x:c>
      <x:c r="I607" s="74" t="n">
        <x:v>1403.83</x:v>
      </x:c>
      <x:c r="J607" s="74" t="n">
        <x:v>11070.34</x:v>
      </x:c>
      <x:c r="K607" s="74" t="n">
        <x:v>17041.93</x:v>
      </x:c>
      <x:c r="L607" s="74" t="n">
        <x:v>5971.59</x:v>
      </x:c>
    </x:row>
    <x:row r="608">
      <x:c r="A608" s="65" t="str">
        <x:v>TX-1628</x:v>
      </x:c>
      <x:c r="B608" s="65" t="str">
        <x:v>2026-06-08</x:v>
      </x:c>
      <x:c r="C608" s="65" t="str">
        <x:v>Comercial</x:v>
      </x:c>
      <x:c r="D608" s="65" t="str">
        <x:v>Digital</x:v>
      </x:c>
      <x:c r="E608" s="65" t="str">
        <x:v>Nordeste</x:v>
      </x:c>
      <x:c r="F608" s="65" t="str">
        <x:v>Alfa Industria</x:v>
      </x:c>
      <x:c r="G608" s="65" t="str">
        <x:v>Felipe</x:v>
      </x:c>
      <x:c r="H608" s="74" t="n">
        <x:v>26942.85</x:v>
      </x:c>
      <x:c r="I608" s="74" t="n">
        <x:v>1325.07</x:v>
      </x:c>
      <x:c r="J608" s="74" t="n">
        <x:v>13599.01</x:v>
      </x:c>
      <x:c r="K608" s="74" t="n">
        <x:v>25617.78</x:v>
      </x:c>
      <x:c r="L608" s="74" t="n">
        <x:v>12018.769999999999</x:v>
      </x:c>
    </x:row>
    <x:row r="609">
      <x:c r="A609" s="65" t="str">
        <x:v>TX-1646</x:v>
      </x:c>
      <x:c r="B609" s="65" t="str">
        <x:v>2026-06-08</x:v>
      </x:c>
      <x:c r="C609" s="65" t="str">
        <x:v>Comercial</x:v>
      </x:c>
      <x:c r="D609" s="65" t="str">
        <x:v>Direto</x:v>
      </x:c>
      <x:c r="E609" s="65" t="str">
        <x:v>Nordeste</x:v>
      </x:c>
      <x:c r="F609" s="65" t="str">
        <x:v>Crescer Educacao</x:v>
      </x:c>
      <x:c r="G609" s="65" t="str">
        <x:v>Carla</x:v>
      </x:c>
      <x:c r="H609" s="74" t="n">
        <x:v>21358.06</x:v>
      </x:c>
      <x:c r="I609" s="74" t="n">
        <x:v>1236.99</x:v>
      </x:c>
      <x:c r="J609" s="74" t="n">
        <x:v>10892.12</x:v>
      </x:c>
      <x:c r="K609" s="74" t="n">
        <x:v>20121.07</x:v>
      </x:c>
      <x:c r="L609" s="74" t="n">
        <x:v>9228.949999999999</x:v>
      </x:c>
    </x:row>
    <x:row r="610">
      <x:c r="A610" s="65" t="str">
        <x:v>TX-1594</x:v>
      </x:c>
      <x:c r="B610" s="65" t="str">
        <x:v>2026-06-09</x:v>
      </x:c>
      <x:c r="C610" s="65" t="str">
        <x:v>Comercial</x:v>
      </x:c>
      <x:c r="D610" s="65" t="str">
        <x:v>Digital</x:v>
      </x:c>
      <x:c r="E610" s="65" t="str">
        <x:v>Nordeste</x:v>
      </x:c>
      <x:c r="F610" s="65" t="str">
        <x:v>Horizonte Tech</x:v>
      </x:c>
      <x:c r="G610" s="65" t="str">
        <x:v>Carla</x:v>
      </x:c>
      <x:c r="H610" s="74" t="n">
        <x:v>31926.66</x:v>
      </x:c>
      <x:c r="I610" s="74" t="n">
        <x:v>363.92</x:v>
      </x:c>
      <x:c r="J610" s="74" t="n">
        <x:v>18051.43</x:v>
      </x:c>
      <x:c r="K610" s="74" t="n">
        <x:v>31562.74</x:v>
      </x:c>
      <x:c r="L610" s="74" t="n">
        <x:v>13511.310000000001</x:v>
      </x:c>
    </x:row>
    <x:row r="611">
      <x:c r="A611" s="65" t="str">
        <x:v>TX-1630</x:v>
      </x:c>
      <x:c r="B611" s="65" t="str">
        <x:v>2026-06-09</x:v>
      </x:c>
      <x:c r="C611" s="65" t="str">
        <x:v>Tecnologia</x:v>
      </x:c>
      <x:c r="D611" s="65" t="str">
        <x:v>Digital</x:v>
      </x:c>
      <x:c r="E611" s="65" t="str">
        <x:v>Centro-Oeste</x:v>
      </x:c>
      <x:c r="F611" s="65" t="str">
        <x:v>Crescer Educacao</x:v>
      </x:c>
      <x:c r="G611" s="65" t="str">
        <x:v>Diego</x:v>
      </x:c>
      <x:c r="H611" s="74" t="n">
        <x:v>23803.95</x:v>
      </x:c>
      <x:c r="I611" s="74" t="n">
        <x:v>684.39</x:v>
      </x:c>
      <x:c r="J611" s="74" t="n">
        <x:v>15118.23</x:v>
      </x:c>
      <x:c r="K611" s="74" t="n">
        <x:v>23119.56</x:v>
      </x:c>
      <x:c r="L611" s="74" t="n">
        <x:v>8001.330000000002</x:v>
      </x:c>
    </x:row>
    <x:row r="612">
      <x:c r="A612" s="65" t="str">
        <x:v>TX-1606</x:v>
      </x:c>
      <x:c r="B612" s="65" t="str">
        <x:v>2026-06-09</x:v>
      </x:c>
      <x:c r="C612" s="65" t="str">
        <x:v>Marketing</x:v>
      </x:c>
      <x:c r="D612" s="65" t="str">
        <x:v>Direto</x:v>
      </x:c>
      <x:c r="E612" s="65" t="str">
        <x:v>Nordeste</x:v>
      </x:c>
      <x:c r="F612" s="65" t="str">
        <x:v>Beta Logistica</x:v>
      </x:c>
      <x:c r="G612" s="65" t="str">
        <x:v>Ana</x:v>
      </x:c>
      <x:c r="H612" s="74" t="n">
        <x:v>17938.71</x:v>
      </x:c>
      <x:c r="I612" s="74" t="n">
        <x:v>312.5</x:v>
      </x:c>
      <x:c r="J612" s="74" t="n">
        <x:v>12728.31</x:v>
      </x:c>
      <x:c r="K612" s="74" t="n">
        <x:v>17626.21</x:v>
      </x:c>
      <x:c r="L612" s="74" t="n">
        <x:v>4897.9</x:v>
      </x:c>
    </x:row>
    <x:row r="613">
      <x:c r="A613" s="65" t="str">
        <x:v>TX-1603</x:v>
      </x:c>
      <x:c r="B613" s="65" t="str">
        <x:v>2026-06-09</x:v>
      </x:c>
      <x:c r="C613" s="65" t="str">
        <x:v>Operacoes</x:v>
      </x:c>
      <x:c r="D613" s="65" t="str">
        <x:v>Digital</x:v>
      </x:c>
      <x:c r="E613" s="65" t="str">
        <x:v>Sudeste</x:v>
      </x:c>
      <x:c r="F613" s="65" t="str">
        <x:v>Gama Servicos</x:v>
      </x:c>
      <x:c r="G613" s="65" t="str">
        <x:v>Bruno</x:v>
      </x:c>
      <x:c r="H613" s="74" t="n">
        <x:v>30326.87</x:v>
      </x:c>
      <x:c r="I613" s="74" t="n">
        <x:v>501.16</x:v>
      </x:c>
      <x:c r="J613" s="74" t="n">
        <x:v>21184.37</x:v>
      </x:c>
      <x:c r="K613" s="74" t="n">
        <x:v>29825.71</x:v>
      </x:c>
      <x:c r="L613" s="74" t="n">
        <x:v>8641.34</x:v>
      </x:c>
    </x:row>
    <x:row r="614">
      <x:c r="A614" s="65" t="str">
        <x:v>TX-1625</x:v>
      </x:c>
      <x:c r="B614" s="65" t="str">
        <x:v>2026-06-10</x:v>
      </x:c>
      <x:c r="C614" s="65" t="str">
        <x:v>Comercial</x:v>
      </x:c>
      <x:c r="D614" s="65" t="str">
        <x:v>Digital</x:v>
      </x:c>
      <x:c r="E614" s="65" t="str">
        <x:v>Centro-Oeste</x:v>
      </x:c>
      <x:c r="F614" s="65" t="str">
        <x:v>Crescer Educacao</x:v>
      </x:c>
      <x:c r="G614" s="65" t="str">
        <x:v>Diego</x:v>
      </x:c>
      <x:c r="H614" s="74" t="n">
        <x:v>29705.19</x:v>
      </x:c>
      <x:c r="I614" s="74" t="n">
        <x:v>940.93</x:v>
      </x:c>
      <x:c r="J614" s="74" t="n">
        <x:v>15904.16</x:v>
      </x:c>
      <x:c r="K614" s="74" t="n">
        <x:v>28764.26</x:v>
      </x:c>
      <x:c r="L614" s="74" t="n">
        <x:v>12860.099999999999</x:v>
      </x:c>
    </x:row>
    <x:row r="615">
      <x:c r="A615" s="65" t="str">
        <x:v>TX-1616</x:v>
      </x:c>
      <x:c r="B615" s="65" t="str">
        <x:v>2026-06-11</x:v>
      </x:c>
      <x:c r="C615" s="65" t="str">
        <x:v>Comercial</x:v>
      </x:c>
      <x:c r="D615" s="65" t="str">
        <x:v>Parceiros</x:v>
      </x:c>
      <x:c r="E615" s="65" t="str">
        <x:v>Nordeste</x:v>
      </x:c>
      <x:c r="F615" s="65" t="str">
        <x:v>Foco Energia</x:v>
      </x:c>
      <x:c r="G615" s="65" t="str">
        <x:v>Diego</x:v>
      </x:c>
      <x:c r="H615" s="74" t="n">
        <x:v>28027.96</x:v>
      </x:c>
      <x:c r="I615" s="74" t="n">
        <x:v>1842.91</x:v>
      </x:c>
      <x:c r="J615" s="74" t="n">
        <x:v>13944.07</x:v>
      </x:c>
      <x:c r="K615" s="74" t="n">
        <x:v>26185.05</x:v>
      </x:c>
      <x:c r="L615" s="74" t="n">
        <x:v>12240.98</x:v>
      </x:c>
    </x:row>
    <x:row r="616">
      <x:c r="A616" s="65" t="str">
        <x:v>TX-1636</x:v>
      </x:c>
      <x:c r="B616" s="65" t="str">
        <x:v>2026-06-11</x:v>
      </x:c>
      <x:c r="C616" s="65" t="str">
        <x:v>Tecnologia</x:v>
      </x:c>
      <x:c r="D616" s="65" t="str">
        <x:v>Digital</x:v>
      </x:c>
      <x:c r="E616" s="65" t="str">
        <x:v>Sudeste</x:v>
      </x:c>
      <x:c r="F616" s="65" t="str">
        <x:v>Alfa Industria</x:v>
      </x:c>
      <x:c r="G616" s="65" t="str">
        <x:v>Elisa</x:v>
      </x:c>
      <x:c r="H616" s="74" t="n">
        <x:v>25772.65</x:v>
      </x:c>
      <x:c r="I616" s="74" t="n">
        <x:v>1305.67</x:v>
      </x:c>
      <x:c r="J616" s="74" t="n">
        <x:v>15229.73</x:v>
      </x:c>
      <x:c r="K616" s="74" t="n">
        <x:v>24466.980000000003</x:v>
      </x:c>
      <x:c r="L616" s="74" t="n">
        <x:v>9237.250000000004</x:v>
      </x:c>
    </x:row>
    <x:row r="617">
      <x:c r="A617" s="65" t="str">
        <x:v>TX-1633</x:v>
      </x:c>
      <x:c r="B617" s="65" t="str">
        <x:v>2026-06-11</x:v>
      </x:c>
      <x:c r="C617" s="65" t="str">
        <x:v>Tecnologia</x:v>
      </x:c>
      <x:c r="D617" s="65" t="str">
        <x:v>Direto</x:v>
      </x:c>
      <x:c r="E617" s="65" t="str">
        <x:v>Centro-Oeste</x:v>
      </x:c>
      <x:c r="F617" s="65" t="str">
        <x:v>Gama Servicos</x:v>
      </x:c>
      <x:c r="G617" s="65" t="str">
        <x:v>Elisa</x:v>
      </x:c>
      <x:c r="H617" s="74" t="n">
        <x:v>23411.77</x:v>
      </x:c>
      <x:c r="I617" s="74" t="n">
        <x:v>267.5</x:v>
      </x:c>
      <x:c r="J617" s="74" t="n">
        <x:v>14367.59</x:v>
      </x:c>
      <x:c r="K617" s="74" t="n">
        <x:v>23144.27</x:v>
      </x:c>
      <x:c r="L617" s="74" t="n">
        <x:v>8776.68</x:v>
      </x:c>
    </x:row>
    <x:row r="618">
      <x:c r="A618" s="65" t="str">
        <x:v>TX-1637</x:v>
      </x:c>
      <x:c r="B618" s="65" t="str">
        <x:v>2026-06-12</x:v>
      </x:c>
      <x:c r="C618" s="65" t="str">
        <x:v>Comercial</x:v>
      </x:c>
      <x:c r="D618" s="65" t="str">
        <x:v>Direto</x:v>
      </x:c>
      <x:c r="E618" s="65" t="str">
        <x:v>Sul</x:v>
      </x:c>
      <x:c r="F618" s="65" t="str">
        <x:v>Beta Logistica</x:v>
      </x:c>
      <x:c r="G618" s="65" t="str">
        <x:v>Diego</x:v>
      </x:c>
      <x:c r="H618" s="74" t="n">
        <x:v>25847.44</x:v>
      </x:c>
      <x:c r="I618" s="74" t="n">
        <x:v>765.5</x:v>
      </x:c>
      <x:c r="J618" s="74" t="n">
        <x:v>14562.64</x:v>
      </x:c>
      <x:c r="K618" s="74" t="n">
        <x:v>25081.94</x:v>
      </x:c>
      <x:c r="L618" s="74" t="n">
        <x:v>10519.3</x:v>
      </x:c>
    </x:row>
    <x:row r="619">
      <x:c r="A619" s="65" t="str">
        <x:v>TX-1599</x:v>
      </x:c>
      <x:c r="B619" s="65" t="str">
        <x:v>2026-06-13</x:v>
      </x:c>
      <x:c r="C619" s="65" t="str">
        <x:v>Tecnologia</x:v>
      </x:c>
      <x:c r="D619" s="65" t="str">
        <x:v>Direto</x:v>
      </x:c>
      <x:c r="E619" s="65" t="str">
        <x:v>Sul</x:v>
      </x:c>
      <x:c r="F619" s="65" t="str">
        <x:v>Delta Varejo</x:v>
      </x:c>
      <x:c r="G619" s="65" t="str">
        <x:v>Diego</x:v>
      </x:c>
      <x:c r="H619" s="74" t="n">
        <x:v>27743.02</x:v>
      </x:c>
      <x:c r="I619" s="74" t="n">
        <x:v>1027.77</x:v>
      </x:c>
      <x:c r="J619" s="74" t="n">
        <x:v>16704.19</x:v>
      </x:c>
      <x:c r="K619" s="74" t="n">
        <x:v>26715.25</x:v>
      </x:c>
      <x:c r="L619" s="74" t="n">
        <x:v>10011.060000000001</x:v>
      </x:c>
    </x:row>
    <x:row r="620">
      <x:c r="A620" s="65" t="str">
        <x:v>TX-1631</x:v>
      </x:c>
      <x:c r="B620" s="65" t="str">
        <x:v>2026-06-13</x:v>
      </x:c>
      <x:c r="C620" s="65" t="str">
        <x:v>Marketing</x:v>
      </x:c>
      <x:c r="D620" s="65" t="str">
        <x:v>Parceiros</x:v>
      </x:c>
      <x:c r="E620" s="65" t="str">
        <x:v>Centro-Oeste</x:v>
      </x:c>
      <x:c r="F620" s="65" t="str">
        <x:v>Evo Saude</x:v>
      </x:c>
      <x:c r="G620" s="65" t="str">
        <x:v>Ana</x:v>
      </x:c>
      <x:c r="H620" s="74" t="n">
        <x:v>18764.6</x:v>
      </x:c>
      <x:c r="I620" s="74" t="n">
        <x:v>1352.79</x:v>
      </x:c>
      <x:c r="J620" s="74" t="n">
        <x:v>12625.13</x:v>
      </x:c>
      <x:c r="K620" s="74" t="n">
        <x:v>17411.809999999998</x:v>
      </x:c>
      <x:c r="L620" s="74" t="n">
        <x:v>4786.6799999999985</x:v>
      </x:c>
    </x:row>
    <x:row r="621">
      <x:c r="A621" s="65" t="str">
        <x:v>TX-1617</x:v>
      </x:c>
      <x:c r="B621" s="65" t="str">
        <x:v>2026-06-13</x:v>
      </x:c>
      <x:c r="C621" s="65" t="str">
        <x:v>Marketing</x:v>
      </x:c>
      <x:c r="D621" s="65" t="str">
        <x:v>Direto</x:v>
      </x:c>
      <x:c r="E621" s="65" t="str">
        <x:v>Nordeste</x:v>
      </x:c>
      <x:c r="F621" s="65" t="str">
        <x:v>Gama Servicos</x:v>
      </x:c>
      <x:c r="G621" s="65" t="str">
        <x:v>Ana</x:v>
      </x:c>
      <x:c r="H621" s="74" t="n">
        <x:v>16611.48</x:v>
      </x:c>
      <x:c r="I621" s="74" t="n">
        <x:v>578.98</x:v>
      </x:c>
      <x:c r="J621" s="74" t="n">
        <x:v>11657.56</x:v>
      </x:c>
      <x:c r="K621" s="74" t="n">
        <x:v>16032.5</x:v>
      </x:c>
      <x:c r="L621" s="74" t="n">
        <x:v>4374.9400000000005</x:v>
      </x:c>
    </x:row>
    <x:row r="622">
      <x:c r="A622" s="65" t="str">
        <x:v>TX-1644</x:v>
      </x:c>
      <x:c r="B622" s="65" t="str">
        <x:v>2026-06-14</x:v>
      </x:c>
      <x:c r="C622" s="65" t="str">
        <x:v>Operacoes</x:v>
      </x:c>
      <x:c r="D622" s="65" t="str">
        <x:v>Parceiros</x:v>
      </x:c>
      <x:c r="E622" s="65" t="str">
        <x:v>Nordeste</x:v>
      </x:c>
      <x:c r="F622" s="65" t="str">
        <x:v>Beta Logistica</x:v>
      </x:c>
      <x:c r="G622" s="65" t="str">
        <x:v>Elisa</x:v>
      </x:c>
      <x:c r="H622" s="74" t="n">
        <x:v>20030.12</x:v>
      </x:c>
      <x:c r="I622" s="74" t="n">
        <x:v>466.79</x:v>
      </x:c>
      <x:c r="J622" s="74" t="n">
        <x:v>13225.54</x:v>
      </x:c>
      <x:c r="K622" s="74" t="n">
        <x:v>19563.329999999998</x:v>
      </x:c>
      <x:c r="L622" s="74" t="n">
        <x:v>6337.789999999997</x:v>
      </x:c>
    </x:row>
    <x:row r="623">
      <x:c r="A623" s="65" t="str">
        <x:v>TX-1615</x:v>
      </x:c>
      <x:c r="B623" s="65" t="str">
        <x:v>2026-06-14</x:v>
      </x:c>
      <x:c r="C623" s="65" t="str">
        <x:v>Comercial</x:v>
      </x:c>
      <x:c r="D623" s="65" t="str">
        <x:v>Digital</x:v>
      </x:c>
      <x:c r="E623" s="65" t="str">
        <x:v>Sudeste</x:v>
      </x:c>
      <x:c r="F623" s="65" t="str">
        <x:v>Horizonte Tech</x:v>
      </x:c>
      <x:c r="G623" s="65" t="str">
        <x:v>Bruno</x:v>
      </x:c>
      <x:c r="H623" s="74" t="n">
        <x:v>28533.76</x:v>
      </x:c>
      <x:c r="I623" s="74" t="n">
        <x:v>460.58</x:v>
      </x:c>
      <x:c r="J623" s="74" t="n">
        <x:v>16718.82</x:v>
      </x:c>
      <x:c r="K623" s="74" t="n">
        <x:v>28073.179999999997</x:v>
      </x:c>
      <x:c r="L623" s="74" t="n">
        <x:v>11354.359999999997</x:v>
      </x:c>
    </x:row>
    <x:row r="624">
      <x:c r="A624" s="65" t="str">
        <x:v>TX-1614</x:v>
      </x:c>
      <x:c r="B624" s="65" t="str">
        <x:v>2026-06-14</x:v>
      </x:c>
      <x:c r="C624" s="65" t="str">
        <x:v>Operacoes</x:v>
      </x:c>
      <x:c r="D624" s="65" t="str">
        <x:v>Direto</x:v>
      </x:c>
      <x:c r="E624" s="65" t="str">
        <x:v>Sul</x:v>
      </x:c>
      <x:c r="F624" s="65" t="str">
        <x:v>Evo Saude</x:v>
      </x:c>
      <x:c r="G624" s="65" t="str">
        <x:v>Bruno</x:v>
      </x:c>
      <x:c r="H624" s="74" t="n">
        <x:v>20757.98</x:v>
      </x:c>
      <x:c r="I624" s="74" t="n">
        <x:v>458.04</x:v>
      </x:c>
      <x:c r="J624" s="74" t="n">
        <x:v>13842.99</x:v>
      </x:c>
      <x:c r="K624" s="74" t="n">
        <x:v>20299.94</x:v>
      </x:c>
      <x:c r="L624" s="74" t="n">
        <x:v>6456.949999999999</x:v>
      </x:c>
    </x:row>
    <x:row r="625">
      <x:c r="A625" s="65" t="str">
        <x:v>TX-1598</x:v>
      </x:c>
      <x:c r="B625" s="65" t="str">
        <x:v>2026-06-14</x:v>
      </x:c>
      <x:c r="C625" s="65" t="str">
        <x:v>Tecnologia</x:v>
      </x:c>
      <x:c r="D625" s="65" t="str">
        <x:v>Parceiros</x:v>
      </x:c>
      <x:c r="E625" s="65" t="str">
        <x:v>Nordeste</x:v>
      </x:c>
      <x:c r="F625" s="65" t="str">
        <x:v>Gama Servicos</x:v>
      </x:c>
      <x:c r="G625" s="65" t="str">
        <x:v>Ana</x:v>
      </x:c>
      <x:c r="H625" s="74" t="n">
        <x:v>27426.72</x:v>
      </x:c>
      <x:c r="I625" s="74" t="n">
        <x:v>1834.94</x:v>
      </x:c>
      <x:c r="J625" s="74" t="n">
        <x:v>15907.09</x:v>
      </x:c>
      <x:c r="K625" s="74" t="n">
        <x:v>25591.780000000002</x:v>
      </x:c>
      <x:c r="L625" s="74" t="n">
        <x:v>9684.690000000002</x:v>
      </x:c>
    </x:row>
    <x:row r="626">
      <x:c r="A626" s="65" t="str">
        <x:v>TX-1608</x:v>
      </x:c>
      <x:c r="B626" s="65" t="str">
        <x:v>2026-06-15</x:v>
      </x:c>
      <x:c r="C626" s="65" t="str">
        <x:v>Marketing</x:v>
      </x:c>
      <x:c r="D626" s="65" t="str">
        <x:v>Direto</x:v>
      </x:c>
      <x:c r="E626" s="65" t="str">
        <x:v>Nordeste</x:v>
      </x:c>
      <x:c r="F626" s="65" t="str">
        <x:v>Beta Logistica</x:v>
      </x:c>
      <x:c r="G626" s="65" t="str">
        <x:v>Felipe</x:v>
      </x:c>
      <x:c r="H626" s="74" t="n">
        <x:v>17478.96</x:v>
      </x:c>
      <x:c r="I626" s="74" t="n">
        <x:v>813.33</x:v>
      </x:c>
      <x:c r="J626" s="74" t="n">
        <x:v>11579.86</x:v>
      </x:c>
      <x:c r="K626" s="74" t="n">
        <x:v>16665.629999999997</x:v>
      </x:c>
      <x:c r="L626" s="74" t="n">
        <x:v>5085.769999999997</x:v>
      </x:c>
    </x:row>
    <x:row r="627">
      <x:c r="A627" s="65" t="str">
        <x:v>TX-1602</x:v>
      </x:c>
      <x:c r="B627" s="65" t="str">
        <x:v>2026-06-16</x:v>
      </x:c>
      <x:c r="C627" s="65" t="str">
        <x:v>Tecnologia</x:v>
      </x:c>
      <x:c r="D627" s="65" t="str">
        <x:v>Parceiros</x:v>
      </x:c>
      <x:c r="E627" s="65" t="str">
        <x:v>Sudeste</x:v>
      </x:c>
      <x:c r="F627" s="65" t="str">
        <x:v>Crescer Educacao</x:v>
      </x:c>
      <x:c r="G627" s="65" t="str">
        <x:v>Carla</x:v>
      </x:c>
      <x:c r="H627" s="74" t="n">
        <x:v>17807.09</x:v>
      </x:c>
      <x:c r="I627" s="74" t="n">
        <x:v>813.99</x:v>
      </x:c>
      <x:c r="J627" s="74" t="n">
        <x:v>10409.96</x:v>
      </x:c>
      <x:c r="K627" s="74" t="n">
        <x:v>16993.1</x:v>
      </x:c>
      <x:c r="L627" s="74" t="n">
        <x:v>6583.139999999999</x:v>
      </x:c>
    </x:row>
    <x:row r="628">
      <x:c r="A628" s="65" t="str">
        <x:v>TX-1632</x:v>
      </x:c>
      <x:c r="B628" s="65" t="str">
        <x:v>2026-06-16</x:v>
      </x:c>
      <x:c r="C628" s="65" t="str">
        <x:v>Tecnologia</x:v>
      </x:c>
      <x:c r="D628" s="65" t="str">
        <x:v>Digital</x:v>
      </x:c>
      <x:c r="E628" s="65" t="str">
        <x:v>Centro-Oeste</x:v>
      </x:c>
      <x:c r="F628" s="65" t="str">
        <x:v>Foco Energia</x:v>
      </x:c>
      <x:c r="G628" s="65" t="str">
        <x:v>Ana</x:v>
      </x:c>
      <x:c r="H628" s="74" t="n">
        <x:v>25322.32</x:v>
      </x:c>
      <x:c r="I628" s="74" t="n">
        <x:v>1668.49</x:v>
      </x:c>
      <x:c r="J628" s="74" t="n">
        <x:v>14569.78</x:v>
      </x:c>
      <x:c r="K628" s="74" t="n">
        <x:v>23653.829999999998</x:v>
      </x:c>
      <x:c r="L628" s="74" t="n">
        <x:v>9084.049999999997</x:v>
      </x:c>
    </x:row>
    <x:row r="629">
      <x:c r="A629" s="65" t="str">
        <x:v>TX-1638</x:v>
      </x:c>
      <x:c r="B629" s="65" t="str">
        <x:v>2026-06-16</x:v>
      </x:c>
      <x:c r="C629" s="65" t="str">
        <x:v>Comercial</x:v>
      </x:c>
      <x:c r="D629" s="65" t="str">
        <x:v>Parceiros</x:v>
      </x:c>
      <x:c r="E629" s="65" t="str">
        <x:v>Centro-Oeste</x:v>
      </x:c>
      <x:c r="F629" s="65" t="str">
        <x:v>Horizonte Tech</x:v>
      </x:c>
      <x:c r="G629" s="65" t="str">
        <x:v>Bruno</x:v>
      </x:c>
      <x:c r="H629" s="74" t="n">
        <x:v>24323.54</x:v>
      </x:c>
      <x:c r="I629" s="74" t="n">
        <x:v>931.37</x:v>
      </x:c>
      <x:c r="J629" s="74" t="n">
        <x:v>13193.36</x:v>
      </x:c>
      <x:c r="K629" s="74" t="n">
        <x:v>23392.170000000002</x:v>
      </x:c>
      <x:c r="L629" s="74" t="n">
        <x:v>10198.810000000001</x:v>
      </x:c>
    </x:row>
    <x:row r="630">
      <x:c r="A630" s="65" t="str">
        <x:v>TX-1612</x:v>
      </x:c>
      <x:c r="B630" s="65" t="str">
        <x:v>2026-06-17</x:v>
      </x:c>
      <x:c r="C630" s="65" t="str">
        <x:v>Comercial</x:v>
      </x:c>
      <x:c r="D630" s="65" t="str">
        <x:v>Digital</x:v>
      </x:c>
      <x:c r="E630" s="65" t="str">
        <x:v>Sul</x:v>
      </x:c>
      <x:c r="F630" s="65" t="str">
        <x:v>Crescer Educacao</x:v>
      </x:c>
      <x:c r="G630" s="65" t="str">
        <x:v>Felipe</x:v>
      </x:c>
      <x:c r="H630" s="74" t="n">
        <x:v>34454.01</x:v>
      </x:c>
      <x:c r="I630" s="74" t="n">
        <x:v>1163.73</x:v>
      </x:c>
      <x:c r="J630" s="74" t="n">
        <x:v>19514.63</x:v>
      </x:c>
      <x:c r="K630" s="74" t="n">
        <x:v>33290.28</x:v>
      </x:c>
      <x:c r="L630" s="74" t="n">
        <x:v>13775.649999999998</x:v>
      </x:c>
    </x:row>
    <x:row r="631">
      <x:c r="A631" s="65" t="str">
        <x:v>TX-1639</x:v>
      </x:c>
      <x:c r="B631" s="65" t="str">
        <x:v>2026-06-18</x:v>
      </x:c>
      <x:c r="C631" s="65" t="str">
        <x:v>Marketing</x:v>
      </x:c>
      <x:c r="D631" s="65" t="str">
        <x:v>Parceiros</x:v>
      </x:c>
      <x:c r="E631" s="65" t="str">
        <x:v>Nordeste</x:v>
      </x:c>
      <x:c r="F631" s="65" t="str">
        <x:v>Evo Saude</x:v>
      </x:c>
      <x:c r="G631" s="65" t="str">
        <x:v>Felipe</x:v>
      </x:c>
      <x:c r="H631" s="74" t="n">
        <x:v>14525.22</x:v>
      </x:c>
      <x:c r="I631" s="74" t="n">
        <x:v>947.53</x:v>
      </x:c>
      <x:c r="J631" s="74" t="n">
        <x:v>10084.82</x:v>
      </x:c>
      <x:c r="K631" s="74" t="n">
        <x:v>13577.689999999999</x:v>
      </x:c>
      <x:c r="L631" s="74" t="n">
        <x:v>3492.869999999999</x:v>
      </x:c>
    </x:row>
    <x:row r="632">
      <x:c r="A632" s="65" t="str">
        <x:v>TX-1645</x:v>
      </x:c>
      <x:c r="B632" s="65" t="str">
        <x:v>2026-06-18</x:v>
      </x:c>
      <x:c r="C632" s="65" t="str">
        <x:v>Tecnologia</x:v>
      </x:c>
      <x:c r="D632" s="65" t="str">
        <x:v>Direto</x:v>
      </x:c>
      <x:c r="E632" s="65" t="str">
        <x:v>Sudeste</x:v>
      </x:c>
      <x:c r="F632" s="65" t="str">
        <x:v>Alfa Industria</x:v>
      </x:c>
      <x:c r="G632" s="65" t="str">
        <x:v>Elisa</x:v>
      </x:c>
      <x:c r="H632" s="74" t="n">
        <x:v>27343.88</x:v>
      </x:c>
      <x:c r="I632" s="74" t="n">
        <x:v>490.66</x:v>
      </x:c>
      <x:c r="J632" s="74" t="n">
        <x:v>17123.21</x:v>
      </x:c>
      <x:c r="K632" s="74" t="n">
        <x:v>26853.22</x:v>
      </x:c>
      <x:c r="L632" s="74" t="n">
        <x:v>9730.010000000002</x:v>
      </x:c>
    </x:row>
    <x:row r="633">
      <x:c r="A633" s="65" t="str">
        <x:v>TX-1623</x:v>
      </x:c>
      <x:c r="B633" s="65" t="str">
        <x:v>2026-06-18</x:v>
      </x:c>
      <x:c r="C633" s="65" t="str">
        <x:v>Marketing</x:v>
      </x:c>
      <x:c r="D633" s="65" t="str">
        <x:v>Parceiros</x:v>
      </x:c>
      <x:c r="E633" s="65" t="str">
        <x:v>Sul</x:v>
      </x:c>
      <x:c r="F633" s="65" t="str">
        <x:v>Horizonte Tech</x:v>
      </x:c>
      <x:c r="G633" s="65" t="str">
        <x:v>Bruno</x:v>
      </x:c>
      <x:c r="H633" s="74" t="n">
        <x:v>17477.88</x:v>
      </x:c>
      <x:c r="I633" s="74" t="n">
        <x:v>655.42</x:v>
      </x:c>
      <x:c r="J633" s="74" t="n">
        <x:v>12387.15</x:v>
      </x:c>
      <x:c r="K633" s="74" t="n">
        <x:v>16822.460000000003</x:v>
      </x:c>
      <x:c r="L633" s="74" t="n">
        <x:v>4435.310000000003</x:v>
      </x:c>
    </x:row>
    <x:row r="634">
      <x:c r="A634" s="65" t="str">
        <x:v>TX-1595</x:v>
      </x:c>
      <x:c r="B634" s="65" t="str">
        <x:v>2026-06-18</x:v>
      </x:c>
      <x:c r="C634" s="65" t="str">
        <x:v>Tecnologia</x:v>
      </x:c>
      <x:c r="D634" s="65" t="str">
        <x:v>Digital</x:v>
      </x:c>
      <x:c r="E634" s="65" t="str">
        <x:v>Centro-Oeste</x:v>
      </x:c>
      <x:c r="F634" s="65" t="str">
        <x:v>Delta Varejo</x:v>
      </x:c>
      <x:c r="G634" s="65" t="str">
        <x:v>Bruno</x:v>
      </x:c>
      <x:c r="H634" s="74" t="n">
        <x:v>22410.82</x:v>
      </x:c>
      <x:c r="I634" s="74" t="n">
        <x:v>1772.3</x:v>
      </x:c>
      <x:c r="J634" s="74" t="n">
        <x:v>13340.45</x:v>
      </x:c>
      <x:c r="K634" s="74" t="n">
        <x:v>20638.52</x:v>
      </x:c>
      <x:c r="L634" s="74" t="n">
        <x:v>7298.07</x:v>
      </x:c>
    </x:row>
    <x:row r="635">
      <x:c r="A635" s="65" t="str">
        <x:v>TX-1607</x:v>
      </x:c>
      <x:c r="B635" s="65" t="str">
        <x:v>2026-06-18</x:v>
      </x:c>
      <x:c r="C635" s="65" t="str">
        <x:v>Comercial</x:v>
      </x:c>
      <x:c r="D635" s="65" t="str">
        <x:v>Direto</x:v>
      </x:c>
      <x:c r="E635" s="65" t="str">
        <x:v>Sul</x:v>
      </x:c>
      <x:c r="F635" s="65" t="str">
        <x:v>Alfa Industria</x:v>
      </x:c>
      <x:c r="G635" s="65" t="str">
        <x:v>Ana</x:v>
      </x:c>
      <x:c r="H635" s="74" t="n">
        <x:v>20552.74</x:v>
      </x:c>
      <x:c r="I635" s="74" t="n">
        <x:v>335.53</x:v>
      </x:c>
      <x:c r="J635" s="74" t="n">
        <x:v>11118.58</x:v>
      </x:c>
      <x:c r="K635" s="74" t="n">
        <x:v>20217.210000000003</x:v>
      </x:c>
      <x:c r="L635" s="74" t="n">
        <x:v>9098.630000000003</x:v>
      </x:c>
    </x:row>
    <x:row r="636">
      <x:c r="A636" s="65" t="str">
        <x:v>TX-1629</x:v>
      </x:c>
      <x:c r="B636" s="65" t="str">
        <x:v>2026-06-18</x:v>
      </x:c>
      <x:c r="C636" s="65" t="str">
        <x:v>Operacoes</x:v>
      </x:c>
      <x:c r="D636" s="65" t="str">
        <x:v>Parceiros</x:v>
      </x:c>
      <x:c r="E636" s="65" t="str">
        <x:v>Centro-Oeste</x:v>
      </x:c>
      <x:c r="F636" s="65" t="str">
        <x:v>Horizonte Tech</x:v>
      </x:c>
      <x:c r="G636" s="65" t="str">
        <x:v>Elisa</x:v>
      </x:c>
      <x:c r="H636" s="74" t="n">
        <x:v>20566.38</x:v>
      </x:c>
      <x:c r="I636" s="74" t="n">
        <x:v>952.24</x:v>
      </x:c>
      <x:c r="J636" s="74" t="n">
        <x:v>12793.95</x:v>
      </x:c>
      <x:c r="K636" s="74" t="n">
        <x:v>19614.14</x:v>
      </x:c>
      <x:c r="L636" s="74" t="n">
        <x:v>6820.189999999999</x:v>
      </x:c>
    </x:row>
    <x:row r="637">
      <x:c r="A637" s="65" t="str">
        <x:v>TX-1626</x:v>
      </x:c>
      <x:c r="B637" s="65" t="str">
        <x:v>2026-06-19</x:v>
      </x:c>
      <x:c r="C637" s="65" t="str">
        <x:v>Operacoes</x:v>
      </x:c>
      <x:c r="D637" s="65" t="str">
        <x:v>Digital</x:v>
      </x:c>
      <x:c r="E637" s="65" t="str">
        <x:v>Nordeste</x:v>
      </x:c>
      <x:c r="F637" s="65" t="str">
        <x:v>Gama Servicos</x:v>
      </x:c>
      <x:c r="G637" s="65" t="str">
        <x:v>Carla</x:v>
      </x:c>
      <x:c r="H637" s="74" t="n">
        <x:v>22203.95</x:v>
      </x:c>
      <x:c r="I637" s="74" t="n">
        <x:v>498.91</x:v>
      </x:c>
      <x:c r="J637" s="74" t="n">
        <x:v>14427.52</x:v>
      </x:c>
      <x:c r="K637" s="74" t="n">
        <x:v>21705.04</x:v>
      </x:c>
      <x:c r="L637" s="74" t="n">
        <x:v>7277.52</x:v>
      </x:c>
    </x:row>
    <x:row r="638">
      <x:c r="A638" s="65" t="str">
        <x:v>TX-1619</x:v>
      </x:c>
      <x:c r="B638" s="65" t="str">
        <x:v>2026-06-19</x:v>
      </x:c>
      <x:c r="C638" s="65" t="str">
        <x:v>Comercial</x:v>
      </x:c>
      <x:c r="D638" s="65" t="str">
        <x:v>Parceiros</x:v>
      </x:c>
      <x:c r="E638" s="65" t="str">
        <x:v>Sudeste</x:v>
      </x:c>
      <x:c r="F638" s="65" t="str">
        <x:v>Crescer Educacao</x:v>
      </x:c>
      <x:c r="G638" s="65" t="str">
        <x:v>Bruno</x:v>
      </x:c>
      <x:c r="H638" s="74" t="n">
        <x:v>22395.42</x:v>
      </x:c>
      <x:c r="I638" s="74" t="n">
        <x:v>977.32</x:v>
      </x:c>
      <x:c r="J638" s="74" t="n">
        <x:v>12029.58</x:v>
      </x:c>
      <x:c r="K638" s="74" t="n">
        <x:v>21418.1</x:v>
      </x:c>
      <x:c r="L638" s="74" t="n">
        <x:v>9388.519999999999</x:v>
      </x:c>
    </x:row>
    <x:row r="639">
      <x:c r="A639" s="65" t="str">
        <x:v>TX-1604</x:v>
      </x:c>
      <x:c r="B639" s="65" t="str">
        <x:v>2026-06-19</x:v>
      </x:c>
      <x:c r="C639" s="65" t="str">
        <x:v>Operacoes</x:v>
      </x:c>
      <x:c r="D639" s="65" t="str">
        <x:v>Direto</x:v>
      </x:c>
      <x:c r="E639" s="65" t="str">
        <x:v>Centro-Oeste</x:v>
      </x:c>
      <x:c r="F639" s="65" t="str">
        <x:v>Horizonte Tech</x:v>
      </x:c>
      <x:c r="G639" s="65" t="str">
        <x:v>Felipe</x:v>
      </x:c>
      <x:c r="H639" s="74" t="n">
        <x:v>18592.95</x:v>
      </x:c>
      <x:c r="I639" s="74" t="n">
        <x:v>1333.49</x:v>
      </x:c>
      <x:c r="J639" s="74" t="n">
        <x:v>12716.84</x:v>
      </x:c>
      <x:c r="K639" s="74" t="n">
        <x:v>17259.46</x:v>
      </x:c>
      <x:c r="L639" s="74" t="n">
        <x:v>4542.619999999999</x:v>
      </x:c>
    </x:row>
    <x:row r="640">
      <x:c r="A640" s="65" t="str">
        <x:v>TX-1621</x:v>
      </x:c>
      <x:c r="B640" s="65" t="str">
        <x:v>2026-06-21</x:v>
      </x:c>
      <x:c r="C640" s="65" t="str">
        <x:v>Operacoes</x:v>
      </x:c>
      <x:c r="D640" s="65" t="str">
        <x:v>Parceiros</x:v>
      </x:c>
      <x:c r="E640" s="65" t="str">
        <x:v>Centro-Oeste</x:v>
      </x:c>
      <x:c r="F640" s="65" t="str">
        <x:v>Delta Varejo</x:v>
      </x:c>
      <x:c r="G640" s="65" t="str">
        <x:v>Felipe</x:v>
      </x:c>
      <x:c r="H640" s="74" t="n">
        <x:v>21881.31</x:v>
      </x:c>
      <x:c r="I640" s="74" t="n">
        <x:v>1679.16</x:v>
      </x:c>
      <x:c r="J640" s="74" t="n">
        <x:v>14060.43</x:v>
      </x:c>
      <x:c r="K640" s="74" t="n">
        <x:v>20202.15</x:v>
      </x:c>
      <x:c r="L640" s="74" t="n">
        <x:v>6141.720000000001</x:v>
      </x:c>
    </x:row>
    <x:row r="641">
      <x:c r="A641" s="65" t="str">
        <x:v>TX-1596</x:v>
      </x:c>
      <x:c r="B641" s="65" t="str">
        <x:v>2026-06-21</x:v>
      </x:c>
      <x:c r="C641" s="65" t="str">
        <x:v>Comercial</x:v>
      </x:c>
      <x:c r="D641" s="65" t="str">
        <x:v>Digital</x:v>
      </x:c>
      <x:c r="E641" s="65" t="str">
        <x:v>Centro-Oeste</x:v>
      </x:c>
      <x:c r="F641" s="65" t="str">
        <x:v>Evo Saude</x:v>
      </x:c>
      <x:c r="G641" s="65" t="str">
        <x:v>Elisa</x:v>
      </x:c>
      <x:c r="H641" s="74" t="n">
        <x:v>22312.75</x:v>
      </x:c>
      <x:c r="I641" s="74" t="n">
        <x:v>1028.84</x:v>
      </x:c>
      <x:c r="J641" s="74" t="n">
        <x:v>11758.77</x:v>
      </x:c>
      <x:c r="K641" s="74" t="n">
        <x:v>21283.91</x:v>
      </x:c>
      <x:c r="L641" s="74" t="n">
        <x:v>9525.14</x:v>
      </x:c>
    </x:row>
    <x:row r="642">
      <x:c r="A642" s="65" t="str">
        <x:v>TX-1600</x:v>
      </x:c>
      <x:c r="B642" s="65" t="str">
        <x:v>2026-06-22</x:v>
      </x:c>
      <x:c r="C642" s="65" t="str">
        <x:v>Tecnologia</x:v>
      </x:c>
      <x:c r="D642" s="65" t="str">
        <x:v>Digital</x:v>
      </x:c>
      <x:c r="E642" s="65" t="str">
        <x:v>Sudeste</x:v>
      </x:c>
      <x:c r="F642" s="65" t="str">
        <x:v>Crescer Educacao</x:v>
      </x:c>
      <x:c r="G642" s="65" t="str">
        <x:v>Bruno</x:v>
      </x:c>
      <x:c r="H642" s="74" t="n">
        <x:v>23939.34</x:v>
      </x:c>
      <x:c r="I642" s="74" t="n">
        <x:v>960.81</x:v>
      </x:c>
      <x:c r="J642" s="74" t="n">
        <x:v>14893.09</x:v>
      </x:c>
      <x:c r="K642" s="74" t="n">
        <x:v>22978.53</x:v>
      </x:c>
      <x:c r="L642" s="74" t="n">
        <x:v>8085.439999999999</x:v>
      </x:c>
    </x:row>
    <x:row r="643">
      <x:c r="A643" s="65" t="str">
        <x:v>TX-1613</x:v>
      </x:c>
      <x:c r="B643" s="65" t="str">
        <x:v>2026-06-22</x:v>
      </x:c>
      <x:c r="C643" s="65" t="str">
        <x:v>Comercial</x:v>
      </x:c>
      <x:c r="D643" s="65" t="str">
        <x:v>Digital</x:v>
      </x:c>
      <x:c r="E643" s="65" t="str">
        <x:v>Sudeste</x:v>
      </x:c>
      <x:c r="F643" s="65" t="str">
        <x:v>Delta Varejo</x:v>
      </x:c>
      <x:c r="G643" s="65" t="str">
        <x:v>Ana</x:v>
      </x:c>
      <x:c r="H643" s="74" t="n">
        <x:v>23350.15</x:v>
      </x:c>
      <x:c r="I643" s="74" t="n">
        <x:v>534.48</x:v>
      </x:c>
      <x:c r="J643" s="74" t="n">
        <x:v>14052.7</x:v>
      </x:c>
      <x:c r="K643" s="74" t="n">
        <x:v>22815.670000000002</x:v>
      </x:c>
      <x:c r="L643" s="74" t="n">
        <x:v>8762.970000000001</x:v>
      </x:c>
    </x:row>
    <x:row r="644">
      <x:c r="A644" s="65" t="str">
        <x:v>TX-1641</x:v>
      </x:c>
      <x:c r="B644" s="65" t="str">
        <x:v>2026-06-23</x:v>
      </x:c>
      <x:c r="C644" s="65" t="str">
        <x:v>Operacoes</x:v>
      </x:c>
      <x:c r="D644" s="65" t="str">
        <x:v>Digital</x:v>
      </x:c>
      <x:c r="E644" s="65" t="str">
        <x:v>Sul</x:v>
      </x:c>
      <x:c r="F644" s="65" t="str">
        <x:v>Beta Logistica</x:v>
      </x:c>
      <x:c r="G644" s="65" t="str">
        <x:v>Ana</x:v>
      </x:c>
      <x:c r="H644" s="74" t="n">
        <x:v>28567.6</x:v>
      </x:c>
      <x:c r="I644" s="74" t="n">
        <x:v>553.47</x:v>
      </x:c>
      <x:c r="J644" s="74" t="n">
        <x:v>19865.77</x:v>
      </x:c>
      <x:c r="K644" s="74" t="n">
        <x:v>28014.129999999997</x:v>
      </x:c>
      <x:c r="L644" s="74" t="n">
        <x:v>8148.359999999997</x:v>
      </x:c>
    </x:row>
    <x:row r="645">
      <x:c r="A645" s="65" t="str">
        <x:v>TX-1643</x:v>
      </x:c>
      <x:c r="B645" s="65" t="str">
        <x:v>2026-06-23</x:v>
      </x:c>
      <x:c r="C645" s="65" t="str">
        <x:v>Comercial</x:v>
      </x:c>
      <x:c r="D645" s="65" t="str">
        <x:v>Digital</x:v>
      </x:c>
      <x:c r="E645" s="65" t="str">
        <x:v>Sudeste</x:v>
      </x:c>
      <x:c r="F645" s="65" t="str">
        <x:v>Alfa Industria</x:v>
      </x:c>
      <x:c r="G645" s="65" t="str">
        <x:v>Diego</x:v>
      </x:c>
      <x:c r="H645" s="74" t="n">
        <x:v>32189.57</x:v>
      </x:c>
      <x:c r="I645" s="74" t="n">
        <x:v>783.93</x:v>
      </x:c>
      <x:c r="J645" s="74" t="n">
        <x:v>16978.08</x:v>
      </x:c>
      <x:c r="K645" s="74" t="n">
        <x:v>31405.64</x:v>
      </x:c>
      <x:c r="L645" s="74" t="n">
        <x:v>14427.559999999998</x:v>
      </x:c>
    </x:row>
    <x:row r="646">
      <x:c r="A646" s="65" t="str">
        <x:v>TX-1640</x:v>
      </x:c>
      <x:c r="B646" s="65" t="str">
        <x:v>2026-06-23</x:v>
      </x:c>
      <x:c r="C646" s="65" t="str">
        <x:v>Operacoes</x:v>
      </x:c>
      <x:c r="D646" s="65" t="str">
        <x:v>Digital</x:v>
      </x:c>
      <x:c r="E646" s="65" t="str">
        <x:v>Sul</x:v>
      </x:c>
      <x:c r="F646" s="65" t="str">
        <x:v>Delta Varejo</x:v>
      </x:c>
      <x:c r="G646" s="65" t="str">
        <x:v>Carla</x:v>
      </x:c>
      <x:c r="H646" s="74" t="n">
        <x:v>18508.42</x:v>
      </x:c>
      <x:c r="I646" s="74" t="n">
        <x:v>1125.36</x:v>
      </x:c>
      <x:c r="J646" s="74" t="n">
        <x:v>12002.9</x:v>
      </x:c>
      <x:c r="K646" s="74" t="n">
        <x:v>17383.059999999998</x:v>
      </x:c>
      <x:c r="L646" s="74" t="n">
        <x:v>5380.159999999998</x:v>
      </x:c>
    </x:row>
    <x:row r="647">
      <x:c r="A647" s="65" t="str">
        <x:v>TX-1601</x:v>
      </x:c>
      <x:c r="B647" s="65" t="str">
        <x:v>2026-06-24</x:v>
      </x:c>
      <x:c r="C647" s="65" t="str">
        <x:v>Comercial</x:v>
      </x:c>
      <x:c r="D647" s="65" t="str">
        <x:v>Direto</x:v>
      </x:c>
      <x:c r="E647" s="65" t="str">
        <x:v>Sudeste</x:v>
      </x:c>
      <x:c r="F647" s="65" t="str">
        <x:v>Alfa Industria</x:v>
      </x:c>
      <x:c r="G647" s="65" t="str">
        <x:v>Felipe</x:v>
      </x:c>
      <x:c r="H647" s="74" t="n">
        <x:v>30596.18</x:v>
      </x:c>
      <x:c r="I647" s="74" t="n">
        <x:v>1455.25</x:v>
      </x:c>
      <x:c r="J647" s="74" t="n">
        <x:v>15897.72</x:v>
      </x:c>
      <x:c r="K647" s="74" t="n">
        <x:v>29140.93</x:v>
      </x:c>
      <x:c r="L647" s="74" t="n">
        <x:v>13243.210000000001</x:v>
      </x:c>
    </x:row>
    <x:row r="648">
      <x:c r="A648" s="65" t="str">
        <x:v>TX-1611</x:v>
      </x:c>
      <x:c r="B648" s="65" t="str">
        <x:v>2026-06-25</x:v>
      </x:c>
      <x:c r="C648" s="65" t="str">
        <x:v>Marketing</x:v>
      </x:c>
      <x:c r="D648" s="65" t="str">
        <x:v>Direto</x:v>
      </x:c>
      <x:c r="E648" s="65" t="str">
        <x:v>Sudeste</x:v>
      </x:c>
      <x:c r="F648" s="65" t="str">
        <x:v>Beta Logistica</x:v>
      </x:c>
      <x:c r="G648" s="65" t="str">
        <x:v>Ana</x:v>
      </x:c>
      <x:c r="H648" s="74" t="n">
        <x:v>17572.67</x:v>
      </x:c>
      <x:c r="I648" s="74" t="n">
        <x:v>274.97</x:v>
      </x:c>
      <x:c r="J648" s="74" t="n">
        <x:v>12340.82</x:v>
      </x:c>
      <x:c r="K648" s="74" t="n">
        <x:v>17297.699999999997</x:v>
      </x:c>
      <x:c r="L648" s="74" t="n">
        <x:v>4956.879999999997</x:v>
      </x:c>
    </x:row>
    <x:row r="649">
      <x:c r="A649" s="65" t="str">
        <x:v>TX-1642</x:v>
      </x:c>
      <x:c r="B649" s="65" t="str">
        <x:v>2026-06-25</x:v>
      </x:c>
      <x:c r="C649" s="65" t="str">
        <x:v>Operacoes</x:v>
      </x:c>
      <x:c r="D649" s="65" t="str">
        <x:v>Parceiros</x:v>
      </x:c>
      <x:c r="E649" s="65" t="str">
        <x:v>Centro-Oeste</x:v>
      </x:c>
      <x:c r="F649" s="65" t="str">
        <x:v>Alfa Industria</x:v>
      </x:c>
      <x:c r="G649" s="65" t="str">
        <x:v>Ana</x:v>
      </x:c>
      <x:c r="H649" s="74" t="n">
        <x:v>22008.06</x:v>
      </x:c>
      <x:c r="I649" s="74" t="n">
        <x:v>1507.82</x:v>
      </x:c>
      <x:c r="J649" s="74" t="n">
        <x:v>13921.57</x:v>
      </x:c>
      <x:c r="K649" s="74" t="n">
        <x:v>20500.24</x:v>
      </x:c>
      <x:c r="L649" s="74" t="n">
        <x:v>6578.670000000002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b0a199c5143d4a90"/>
  </x:tableParts>
</x:worksheet>
</file>